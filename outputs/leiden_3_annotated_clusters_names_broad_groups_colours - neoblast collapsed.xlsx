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25778\Desktop\Sero_2023_analysis\1 Matrix Preprocessing\outputs\"/>
    </mc:Choice>
  </mc:AlternateContent>
  <xr:revisionPtr revIDLastSave="0" documentId="13_ncr:1_{506E091B-99E6-45AD-9942-F5477B7E6CBA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leiden_3_annotation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L17" i="2" l="1"/>
  <c r="M17" i="2"/>
  <c r="N17" i="2"/>
  <c r="O17" i="2"/>
  <c r="P17" i="2"/>
  <c r="I17" i="2"/>
  <c r="H17" i="2"/>
  <c r="G17" i="2"/>
  <c r="F17" i="2"/>
  <c r="E17" i="2"/>
  <c r="L15" i="2" s="1"/>
  <c r="D17" i="2"/>
  <c r="C17" i="2"/>
  <c r="J5" i="2" s="1"/>
  <c r="L16" i="2"/>
  <c r="L11" i="2"/>
  <c r="L10" i="2"/>
  <c r="J9" i="2"/>
  <c r="L8" i="2"/>
  <c r="L7" i="2"/>
  <c r="J7" i="2"/>
  <c r="J6" i="2"/>
  <c r="L5" i="2"/>
  <c r="L4" i="2"/>
  <c r="J4" i="2"/>
  <c r="L3" i="2"/>
  <c r="L2" i="2"/>
  <c r="J10" i="2" l="1"/>
  <c r="J2" i="2"/>
  <c r="J12" i="2"/>
  <c r="J14" i="2"/>
  <c r="J3" i="2"/>
  <c r="J16" i="2"/>
  <c r="P14" i="2"/>
  <c r="O12" i="2"/>
  <c r="P2" i="2"/>
  <c r="P15" i="2"/>
  <c r="O2" i="2"/>
  <c r="P12" i="2"/>
  <c r="O3" i="2"/>
  <c r="P7" i="2"/>
  <c r="O5" i="2"/>
  <c r="O8" i="2"/>
  <c r="P3" i="2"/>
  <c r="P6" i="2"/>
  <c r="P8" i="2"/>
  <c r="P9" i="2"/>
  <c r="O4" i="2"/>
  <c r="O11" i="2"/>
  <c r="P4" i="2"/>
  <c r="P11" i="2"/>
  <c r="K5" i="2"/>
  <c r="M5" i="2"/>
  <c r="K9" i="2"/>
  <c r="K14" i="2"/>
  <c r="M16" i="2"/>
  <c r="K4" i="2"/>
  <c r="N5" i="2"/>
  <c r="L9" i="2"/>
  <c r="J13" i="2"/>
  <c r="L14" i="2"/>
  <c r="N16" i="2"/>
  <c r="M9" i="2"/>
  <c r="K13" i="2"/>
  <c r="M14" i="2"/>
  <c r="O16" i="2"/>
  <c r="P5" i="2"/>
  <c r="N9" i="2"/>
  <c r="K10" i="2"/>
  <c r="L13" i="2"/>
  <c r="N14" i="2"/>
  <c r="P16" i="2"/>
  <c r="M7" i="2"/>
  <c r="K2" i="2"/>
  <c r="N4" i="2"/>
  <c r="O9" i="2"/>
  <c r="M13" i="2"/>
  <c r="O14" i="2"/>
  <c r="M4" i="2"/>
  <c r="K6" i="2"/>
  <c r="M10" i="2"/>
  <c r="M2" i="2"/>
  <c r="L6" i="2"/>
  <c r="N10" i="2"/>
  <c r="K12" i="2"/>
  <c r="O13" i="2"/>
  <c r="J15" i="2"/>
  <c r="N2" i="2"/>
  <c r="K3" i="2"/>
  <c r="M6" i="2"/>
  <c r="O10" i="2"/>
  <c r="J11" i="2"/>
  <c r="L12" i="2"/>
  <c r="P13" i="2"/>
  <c r="K15" i="2"/>
  <c r="N6" i="2"/>
  <c r="J8" i="2"/>
  <c r="P10" i="2"/>
  <c r="K11" i="2"/>
  <c r="M12" i="2"/>
  <c r="N13" i="2"/>
  <c r="M3" i="2"/>
  <c r="O6" i="2"/>
  <c r="K8" i="2"/>
  <c r="N12" i="2"/>
  <c r="M15" i="2"/>
  <c r="N8" i="2"/>
  <c r="N3" i="2"/>
  <c r="M11" i="2"/>
  <c r="N15" i="2"/>
  <c r="K7" i="2"/>
  <c r="M8" i="2"/>
  <c r="N11" i="2"/>
  <c r="O15" i="2"/>
  <c r="N7" i="2"/>
  <c r="K16" i="2"/>
  <c r="O7" i="2"/>
  <c r="AC15" i="1"/>
  <c r="AC23" i="1" s="1"/>
  <c r="AD15" i="1"/>
  <c r="AD20" i="1" s="1"/>
  <c r="AE15" i="1"/>
  <c r="AE29" i="1" s="1"/>
  <c r="AF15" i="1"/>
  <c r="AF24" i="1" s="1"/>
  <c r="AG15" i="1"/>
  <c r="AG20" i="1" s="1"/>
  <c r="AH15" i="1"/>
  <c r="AH30" i="1" s="1"/>
  <c r="AI15" i="1"/>
  <c r="AB15" i="1"/>
  <c r="AB20" i="1" s="1"/>
  <c r="AB28" i="1" l="1"/>
  <c r="AB29" i="1"/>
  <c r="AE28" i="1"/>
  <c r="AC20" i="1"/>
  <c r="AF23" i="1"/>
  <c r="AF20" i="1"/>
  <c r="AC22" i="1"/>
  <c r="AB19" i="1"/>
  <c r="AH29" i="1"/>
  <c r="AB30" i="1"/>
  <c r="AH25" i="1"/>
  <c r="AC21" i="1"/>
  <c r="AE27" i="1"/>
  <c r="AF22" i="1"/>
  <c r="AH28" i="1"/>
  <c r="AE26" i="1"/>
  <c r="AF21" i="1"/>
  <c r="AH27" i="1"/>
  <c r="AE25" i="1"/>
  <c r="AH26" i="1"/>
  <c r="AH24" i="1"/>
  <c r="AD29" i="1"/>
  <c r="AB25" i="1"/>
  <c r="AE23" i="1"/>
  <c r="AD27" i="1"/>
  <c r="AE22" i="1"/>
  <c r="AG28" i="1"/>
  <c r="AH23" i="1"/>
  <c r="AH19" i="1"/>
  <c r="AB27" i="1"/>
  <c r="AG30" i="1"/>
  <c r="AD28" i="1"/>
  <c r="AB23" i="1"/>
  <c r="AH22" i="1"/>
  <c r="AD30" i="1"/>
  <c r="AB26" i="1"/>
  <c r="AE24" i="1"/>
  <c r="AE19" i="1"/>
  <c r="AG29" i="1"/>
  <c r="AB24" i="1"/>
  <c r="AD19" i="1"/>
  <c r="AC19" i="1"/>
  <c r="AD26" i="1"/>
  <c r="AE21" i="1"/>
  <c r="AG27" i="1"/>
  <c r="AB22" i="1"/>
  <c r="AC30" i="1"/>
  <c r="AD25" i="1"/>
  <c r="AE20" i="1"/>
  <c r="AG26" i="1"/>
  <c r="AH21" i="1"/>
  <c r="AH20" i="1"/>
  <c r="AG19" i="1"/>
  <c r="AF19" i="1"/>
  <c r="AB21" i="1"/>
  <c r="AC29" i="1"/>
  <c r="AD24" i="1"/>
  <c r="AF30" i="1"/>
  <c r="AG25" i="1"/>
  <c r="AC28" i="1"/>
  <c r="AD23" i="1"/>
  <c r="AF29" i="1"/>
  <c r="AG24" i="1"/>
  <c r="AC27" i="1"/>
  <c r="AD22" i="1"/>
  <c r="AF28" i="1"/>
  <c r="AG23" i="1"/>
  <c r="AC26" i="1"/>
  <c r="AD21" i="1"/>
  <c r="AF27" i="1"/>
  <c r="AG22" i="1"/>
  <c r="AC25" i="1"/>
  <c r="AF26" i="1"/>
  <c r="AG21" i="1"/>
  <c r="AC24" i="1"/>
  <c r="AE30" i="1"/>
  <c r="AF25" i="1"/>
  <c r="J76" i="1"/>
  <c r="K76" i="1"/>
  <c r="L76" i="1"/>
  <c r="M76" i="1"/>
  <c r="N76" i="1"/>
  <c r="O76" i="1"/>
  <c r="I76" i="1"/>
  <c r="AC32" i="1" l="1"/>
  <c r="AB32" i="1"/>
  <c r="AD32" i="1"/>
  <c r="AG32" i="1"/>
  <c r="AF32" i="1"/>
  <c r="AH32" i="1"/>
  <c r="AE32" i="1"/>
  <c r="U10" i="1"/>
  <c r="U26" i="1"/>
  <c r="U42" i="1"/>
  <c r="U58" i="1"/>
  <c r="U74" i="1"/>
  <c r="U12" i="1"/>
  <c r="U44" i="1"/>
  <c r="U60" i="1"/>
  <c r="U13" i="1"/>
  <c r="U29" i="1"/>
  <c r="U61" i="1"/>
  <c r="U14" i="1"/>
  <c r="U62" i="1"/>
  <c r="U4" i="1"/>
  <c r="U11" i="1"/>
  <c r="U27" i="1"/>
  <c r="U43" i="1"/>
  <c r="U59" i="1"/>
  <c r="U75" i="1"/>
  <c r="U28" i="1"/>
  <c r="U45" i="1"/>
  <c r="U30" i="1"/>
  <c r="U46" i="1"/>
  <c r="U15" i="1"/>
  <c r="U31" i="1"/>
  <c r="U47" i="1"/>
  <c r="U63" i="1"/>
  <c r="U16" i="1"/>
  <c r="U32" i="1"/>
  <c r="U48" i="1"/>
  <c r="U64" i="1"/>
  <c r="U3" i="1"/>
  <c r="U19" i="1"/>
  <c r="U51" i="1"/>
  <c r="U67" i="1"/>
  <c r="U17" i="1"/>
  <c r="U33" i="1"/>
  <c r="U49" i="1"/>
  <c r="U65" i="1"/>
  <c r="U18" i="1"/>
  <c r="U34" i="1"/>
  <c r="U50" i="1"/>
  <c r="U66" i="1"/>
  <c r="U35" i="1"/>
  <c r="U5" i="1"/>
  <c r="U21" i="1"/>
  <c r="U37" i="1"/>
  <c r="U53" i="1"/>
  <c r="U69" i="1"/>
  <c r="U8" i="1"/>
  <c r="U24" i="1"/>
  <c r="U40" i="1"/>
  <c r="U56" i="1"/>
  <c r="U72" i="1"/>
  <c r="U41" i="1"/>
  <c r="U6" i="1"/>
  <c r="U22" i="1"/>
  <c r="U38" i="1"/>
  <c r="U54" i="1"/>
  <c r="U70" i="1"/>
  <c r="U73" i="1"/>
  <c r="U7" i="1"/>
  <c r="U23" i="1"/>
  <c r="U39" i="1"/>
  <c r="U55" i="1"/>
  <c r="U71" i="1"/>
  <c r="U9" i="1"/>
  <c r="U25" i="1"/>
  <c r="U57" i="1"/>
  <c r="U52" i="1"/>
  <c r="U2" i="1"/>
  <c r="U20" i="1"/>
  <c r="U36" i="1"/>
  <c r="U68" i="1"/>
  <c r="S8" i="1"/>
  <c r="S24" i="1"/>
  <c r="S40" i="1"/>
  <c r="S56" i="1"/>
  <c r="S72" i="1"/>
  <c r="S10" i="1"/>
  <c r="S26" i="1"/>
  <c r="S58" i="1"/>
  <c r="S74" i="1"/>
  <c r="S43" i="1"/>
  <c r="S75" i="1"/>
  <c r="S44" i="1"/>
  <c r="S9" i="1"/>
  <c r="S25" i="1"/>
  <c r="S41" i="1"/>
  <c r="S57" i="1"/>
  <c r="S73" i="1"/>
  <c r="S42" i="1"/>
  <c r="S11" i="1"/>
  <c r="S27" i="1"/>
  <c r="S59" i="1"/>
  <c r="S28" i="1"/>
  <c r="S60" i="1"/>
  <c r="S13" i="1"/>
  <c r="S29" i="1"/>
  <c r="S45" i="1"/>
  <c r="S61" i="1"/>
  <c r="S14" i="1"/>
  <c r="S30" i="1"/>
  <c r="S46" i="1"/>
  <c r="S62" i="1"/>
  <c r="S2" i="1"/>
  <c r="S17" i="1"/>
  <c r="S49" i="1"/>
  <c r="S15" i="1"/>
  <c r="S31" i="1"/>
  <c r="S47" i="1"/>
  <c r="S63" i="1"/>
  <c r="S16" i="1"/>
  <c r="S32" i="1"/>
  <c r="S48" i="1"/>
  <c r="S64" i="1"/>
  <c r="S33" i="1"/>
  <c r="S65" i="1"/>
  <c r="S3" i="1"/>
  <c r="S19" i="1"/>
  <c r="S35" i="1"/>
  <c r="S51" i="1"/>
  <c r="S67" i="1"/>
  <c r="S52" i="1"/>
  <c r="S6" i="1"/>
  <c r="S38" i="1"/>
  <c r="S54" i="1"/>
  <c r="S7" i="1"/>
  <c r="S55" i="1"/>
  <c r="S71" i="1"/>
  <c r="S4" i="1"/>
  <c r="S20" i="1"/>
  <c r="S36" i="1"/>
  <c r="S68" i="1"/>
  <c r="S23" i="1"/>
  <c r="S12" i="1"/>
  <c r="S5" i="1"/>
  <c r="S21" i="1"/>
  <c r="S37" i="1"/>
  <c r="S53" i="1"/>
  <c r="S69" i="1"/>
  <c r="S22" i="1"/>
  <c r="S70" i="1"/>
  <c r="S39" i="1"/>
  <c r="S66" i="1"/>
  <c r="S18" i="1"/>
  <c r="S34" i="1"/>
  <c r="S50" i="1"/>
  <c r="R15" i="1"/>
  <c r="R31" i="1"/>
  <c r="R47" i="1"/>
  <c r="R63" i="1"/>
  <c r="R33" i="1"/>
  <c r="R49" i="1"/>
  <c r="R34" i="1"/>
  <c r="R66" i="1"/>
  <c r="R3" i="1"/>
  <c r="R51" i="1"/>
  <c r="R16" i="1"/>
  <c r="R32" i="1"/>
  <c r="R48" i="1"/>
  <c r="R64" i="1"/>
  <c r="R17" i="1"/>
  <c r="R65" i="1"/>
  <c r="R18" i="1"/>
  <c r="R50" i="1"/>
  <c r="R19" i="1"/>
  <c r="R67" i="1"/>
  <c r="R4" i="1"/>
  <c r="R20" i="1"/>
  <c r="R36" i="1"/>
  <c r="R52" i="1"/>
  <c r="R68" i="1"/>
  <c r="R5" i="1"/>
  <c r="R21" i="1"/>
  <c r="R37" i="1"/>
  <c r="R53" i="1"/>
  <c r="R69" i="1"/>
  <c r="R8" i="1"/>
  <c r="R40" i="1"/>
  <c r="R56" i="1"/>
  <c r="R6" i="1"/>
  <c r="R22" i="1"/>
  <c r="R38" i="1"/>
  <c r="R54" i="1"/>
  <c r="R70" i="1"/>
  <c r="R2" i="1"/>
  <c r="R7" i="1"/>
  <c r="R23" i="1"/>
  <c r="R39" i="1"/>
  <c r="R55" i="1"/>
  <c r="R71" i="1"/>
  <c r="R24" i="1"/>
  <c r="R72" i="1"/>
  <c r="R10" i="1"/>
  <c r="R26" i="1"/>
  <c r="R42" i="1"/>
  <c r="R58" i="1"/>
  <c r="R74" i="1"/>
  <c r="R43" i="1"/>
  <c r="R75" i="1"/>
  <c r="R29" i="1"/>
  <c r="R61" i="1"/>
  <c r="R46" i="1"/>
  <c r="R11" i="1"/>
  <c r="R27" i="1"/>
  <c r="R59" i="1"/>
  <c r="R13" i="1"/>
  <c r="R14" i="1"/>
  <c r="R35" i="1"/>
  <c r="R12" i="1"/>
  <c r="R28" i="1"/>
  <c r="R44" i="1"/>
  <c r="R60" i="1"/>
  <c r="R45" i="1"/>
  <c r="R30" i="1"/>
  <c r="R62" i="1"/>
  <c r="R41" i="1"/>
  <c r="R57" i="1"/>
  <c r="R73" i="1"/>
  <c r="R9" i="1"/>
  <c r="R25" i="1"/>
  <c r="Q6" i="1"/>
  <c r="Q22" i="1"/>
  <c r="Q38" i="1"/>
  <c r="Q54" i="1"/>
  <c r="Q70" i="1"/>
  <c r="Q8" i="1"/>
  <c r="Q40" i="1"/>
  <c r="Q56" i="1"/>
  <c r="Q9" i="1"/>
  <c r="Q41" i="1"/>
  <c r="Q73" i="1"/>
  <c r="Q42" i="1"/>
  <c r="Q47" i="1"/>
  <c r="Q7" i="1"/>
  <c r="Q23" i="1"/>
  <c r="Q39" i="1"/>
  <c r="Q55" i="1"/>
  <c r="Q71" i="1"/>
  <c r="Q24" i="1"/>
  <c r="Q72" i="1"/>
  <c r="Q25" i="1"/>
  <c r="Q57" i="1"/>
  <c r="Q74" i="1"/>
  <c r="Q11" i="1"/>
  <c r="Q27" i="1"/>
  <c r="Q43" i="1"/>
  <c r="Q59" i="1"/>
  <c r="Q75" i="1"/>
  <c r="Q12" i="1"/>
  <c r="Q44" i="1"/>
  <c r="Q60" i="1"/>
  <c r="Q2" i="1"/>
  <c r="Q28" i="1"/>
  <c r="Q30" i="1"/>
  <c r="Q15" i="1"/>
  <c r="Q63" i="1"/>
  <c r="Q13" i="1"/>
  <c r="Q29" i="1"/>
  <c r="Q45" i="1"/>
  <c r="Q61" i="1"/>
  <c r="Q14" i="1"/>
  <c r="Q46" i="1"/>
  <c r="Q62" i="1"/>
  <c r="Q31" i="1"/>
  <c r="Q17" i="1"/>
  <c r="Q33" i="1"/>
  <c r="Q49" i="1"/>
  <c r="Q65" i="1"/>
  <c r="Q34" i="1"/>
  <c r="Q50" i="1"/>
  <c r="Q66" i="1"/>
  <c r="Q19" i="1"/>
  <c r="Q20" i="1"/>
  <c r="Q52" i="1"/>
  <c r="Q5" i="1"/>
  <c r="Q53" i="1"/>
  <c r="Q26" i="1"/>
  <c r="Q18" i="1"/>
  <c r="Q51" i="1"/>
  <c r="Q68" i="1"/>
  <c r="Q21" i="1"/>
  <c r="Q58" i="1"/>
  <c r="Q3" i="1"/>
  <c r="Q35" i="1"/>
  <c r="Q67" i="1"/>
  <c r="Q4" i="1"/>
  <c r="Q36" i="1"/>
  <c r="Q37" i="1"/>
  <c r="Q69" i="1"/>
  <c r="Q10" i="1"/>
  <c r="Q16" i="1"/>
  <c r="Q64" i="1"/>
  <c r="Q32" i="1"/>
  <c r="Q48" i="1"/>
  <c r="P7" i="1"/>
  <c r="P23" i="1"/>
  <c r="P39" i="1"/>
  <c r="P55" i="1"/>
  <c r="P71" i="1"/>
  <c r="P9" i="1"/>
  <c r="P41" i="1"/>
  <c r="P26" i="1"/>
  <c r="P42" i="1"/>
  <c r="P74" i="1"/>
  <c r="P43" i="1"/>
  <c r="P8" i="1"/>
  <c r="P24" i="1"/>
  <c r="P40" i="1"/>
  <c r="P56" i="1"/>
  <c r="P72" i="1"/>
  <c r="P25" i="1"/>
  <c r="P57" i="1"/>
  <c r="P73" i="1"/>
  <c r="P10" i="1"/>
  <c r="P58" i="1"/>
  <c r="P75" i="1"/>
  <c r="P48" i="1"/>
  <c r="P12" i="1"/>
  <c r="P28" i="1"/>
  <c r="P44" i="1"/>
  <c r="P60" i="1"/>
  <c r="P2" i="1"/>
  <c r="P13" i="1"/>
  <c r="P45" i="1"/>
  <c r="P61" i="1"/>
  <c r="P29" i="1"/>
  <c r="P31" i="1"/>
  <c r="P63" i="1"/>
  <c r="P14" i="1"/>
  <c r="P30" i="1"/>
  <c r="P46" i="1"/>
  <c r="P62" i="1"/>
  <c r="P15" i="1"/>
  <c r="P47" i="1"/>
  <c r="P32" i="1"/>
  <c r="P18" i="1"/>
  <c r="P34" i="1"/>
  <c r="P50" i="1"/>
  <c r="P66" i="1"/>
  <c r="P3" i="1"/>
  <c r="P35" i="1"/>
  <c r="P51" i="1"/>
  <c r="P4" i="1"/>
  <c r="P68" i="1"/>
  <c r="P21" i="1"/>
  <c r="P69" i="1"/>
  <c r="P22" i="1"/>
  <c r="P19" i="1"/>
  <c r="P67" i="1"/>
  <c r="P36" i="1"/>
  <c r="P37" i="1"/>
  <c r="P6" i="1"/>
  <c r="P54" i="1"/>
  <c r="P59" i="1"/>
  <c r="P20" i="1"/>
  <c r="P52" i="1"/>
  <c r="P5" i="1"/>
  <c r="P53" i="1"/>
  <c r="P38" i="1"/>
  <c r="P70" i="1"/>
  <c r="P11" i="1"/>
  <c r="P27" i="1"/>
  <c r="P16" i="1"/>
  <c r="P64" i="1"/>
  <c r="P49" i="1"/>
  <c r="P65" i="1"/>
  <c r="P17" i="1"/>
  <c r="P33" i="1"/>
  <c r="V3" i="1"/>
  <c r="V19" i="1"/>
  <c r="V35" i="1"/>
  <c r="V51" i="1"/>
  <c r="V67" i="1"/>
  <c r="V21" i="1"/>
  <c r="V37" i="1"/>
  <c r="V53" i="1"/>
  <c r="V69" i="1"/>
  <c r="V22" i="1"/>
  <c r="V38" i="1"/>
  <c r="V54" i="1"/>
  <c r="V70" i="1"/>
  <c r="V7" i="1"/>
  <c r="V4" i="1"/>
  <c r="V20" i="1"/>
  <c r="V36" i="1"/>
  <c r="V52" i="1"/>
  <c r="V68" i="1"/>
  <c r="V5" i="1"/>
  <c r="V6" i="1"/>
  <c r="V23" i="1"/>
  <c r="V39" i="1"/>
  <c r="V55" i="1"/>
  <c r="V71" i="1"/>
  <c r="V8" i="1"/>
  <c r="V24" i="1"/>
  <c r="V40" i="1"/>
  <c r="V56" i="1"/>
  <c r="V72" i="1"/>
  <c r="V25" i="1"/>
  <c r="V41" i="1"/>
  <c r="V57" i="1"/>
  <c r="V73" i="1"/>
  <c r="V9" i="1"/>
  <c r="V12" i="1"/>
  <c r="V44" i="1"/>
  <c r="V60" i="1"/>
  <c r="V10" i="1"/>
  <c r="V26" i="1"/>
  <c r="V42" i="1"/>
  <c r="V58" i="1"/>
  <c r="V74" i="1"/>
  <c r="V11" i="1"/>
  <c r="V27" i="1"/>
  <c r="V43" i="1"/>
  <c r="V59" i="1"/>
  <c r="V75" i="1"/>
  <c r="V28" i="1"/>
  <c r="V14" i="1"/>
  <c r="V30" i="1"/>
  <c r="V46" i="1"/>
  <c r="V62" i="1"/>
  <c r="V2" i="1"/>
  <c r="V65" i="1"/>
  <c r="V34" i="1"/>
  <c r="V15" i="1"/>
  <c r="V31" i="1"/>
  <c r="V47" i="1"/>
  <c r="V63" i="1"/>
  <c r="V33" i="1"/>
  <c r="V50" i="1"/>
  <c r="V16" i="1"/>
  <c r="V32" i="1"/>
  <c r="V48" i="1"/>
  <c r="V64" i="1"/>
  <c r="V49" i="1"/>
  <c r="V66" i="1"/>
  <c r="V13" i="1"/>
  <c r="V17" i="1"/>
  <c r="V18" i="1"/>
  <c r="V61" i="1"/>
  <c r="V29" i="1"/>
  <c r="V45" i="1"/>
  <c r="T17" i="1"/>
  <c r="T33" i="1"/>
  <c r="T49" i="1"/>
  <c r="T65" i="1"/>
  <c r="T19" i="1"/>
  <c r="T35" i="1"/>
  <c r="T51" i="1"/>
  <c r="T4" i="1"/>
  <c r="T36" i="1"/>
  <c r="T68" i="1"/>
  <c r="T37" i="1"/>
  <c r="T18" i="1"/>
  <c r="T34" i="1"/>
  <c r="T50" i="1"/>
  <c r="T66" i="1"/>
  <c r="T3" i="1"/>
  <c r="T67" i="1"/>
  <c r="T20" i="1"/>
  <c r="T52" i="1"/>
  <c r="T5" i="1"/>
  <c r="T53" i="1"/>
  <c r="T6" i="1"/>
  <c r="T22" i="1"/>
  <c r="T38" i="1"/>
  <c r="T54" i="1"/>
  <c r="T70" i="1"/>
  <c r="T7" i="1"/>
  <c r="T23" i="1"/>
  <c r="T39" i="1"/>
  <c r="T55" i="1"/>
  <c r="T71" i="1"/>
  <c r="T26" i="1"/>
  <c r="T42" i="1"/>
  <c r="T58" i="1"/>
  <c r="T8" i="1"/>
  <c r="T24" i="1"/>
  <c r="T40" i="1"/>
  <c r="T56" i="1"/>
  <c r="T72" i="1"/>
  <c r="T9" i="1"/>
  <c r="T25" i="1"/>
  <c r="T41" i="1"/>
  <c r="T57" i="1"/>
  <c r="T73" i="1"/>
  <c r="T10" i="1"/>
  <c r="T74" i="1"/>
  <c r="T12" i="1"/>
  <c r="T28" i="1"/>
  <c r="T44" i="1"/>
  <c r="T60" i="1"/>
  <c r="T15" i="1"/>
  <c r="T47" i="1"/>
  <c r="T63" i="1"/>
  <c r="T32" i="1"/>
  <c r="T69" i="1"/>
  <c r="T13" i="1"/>
  <c r="T29" i="1"/>
  <c r="T45" i="1"/>
  <c r="T61" i="1"/>
  <c r="T48" i="1"/>
  <c r="T2" i="1"/>
  <c r="T14" i="1"/>
  <c r="T30" i="1"/>
  <c r="T46" i="1"/>
  <c r="T62" i="1"/>
  <c r="T31" i="1"/>
  <c r="T16" i="1"/>
  <c r="T64" i="1"/>
  <c r="T21" i="1"/>
  <c r="T75" i="1"/>
  <c r="T27" i="1"/>
  <c r="T59" i="1"/>
  <c r="T11" i="1"/>
  <c r="T43" i="1"/>
</calcChain>
</file>

<file path=xl/sharedStrings.xml><?xml version="1.0" encoding="utf-8"?>
<sst xmlns="http://schemas.openxmlformats.org/spreadsheetml/2006/main" count="560" uniqueCount="198">
  <si>
    <t>neoblasts 1</t>
  </si>
  <si>
    <t>chat+ neurons 1</t>
  </si>
  <si>
    <t>body wall muscle</t>
  </si>
  <si>
    <t>intestinal and DV muscle</t>
  </si>
  <si>
    <t>pgrn+ parenchymal cells 2</t>
  </si>
  <si>
    <t>pgrn+ parenchymal cells 1</t>
  </si>
  <si>
    <t>late epidermal progenitors</t>
  </si>
  <si>
    <t>phagocytes</t>
  </si>
  <si>
    <t>neoblasts 2</t>
  </si>
  <si>
    <t>muscle pharynx</t>
  </si>
  <si>
    <t>neuronal progenitors</t>
  </si>
  <si>
    <t>chat+ neurons 2</t>
  </si>
  <si>
    <t>otf+ neurons 1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</si>
  <si>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</si>
  <si>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</si>
  <si>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</si>
  <si>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</si>
  <si>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</si>
  <si>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</si>
  <si>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</si>
  <si>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para+ neurons</t>
  </si>
  <si>
    <t>pharynx cell type</t>
  </si>
  <si>
    <t>secretory 2</t>
  </si>
  <si>
    <t>otf+ neurons 2</t>
  </si>
  <si>
    <t>pigment cells</t>
  </si>
  <si>
    <t>aqp+ parenchymal cells</t>
  </si>
  <si>
    <t>trpm-2-1+ neurons</t>
  </si>
  <si>
    <t>trpa-1+ neurons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</si>
  <si>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</si>
  <si>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</si>
  <si>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</si>
  <si>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</si>
  <si>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</si>
  <si>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</si>
  <si>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</si>
  <si>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epidermis DVb</t>
  </si>
  <si>
    <t>gabrb-3+ neurons</t>
  </si>
  <si>
    <t>secretory 7</t>
  </si>
  <si>
    <t>secretory 6</t>
  </si>
  <si>
    <t>secretory 8</t>
  </si>
  <si>
    <t>secretory 4</t>
  </si>
  <si>
    <t>glia</t>
  </si>
  <si>
    <t>early epidermal progenitors 1</t>
  </si>
  <si>
    <t>epidermis 1</t>
  </si>
  <si>
    <t>early epidermal progenitors 2</t>
  </si>
  <si>
    <t>epidermis 2</t>
  </si>
  <si>
    <t>chat+ neurons 3</t>
  </si>
  <si>
    <t>unannotated</t>
  </si>
  <si>
    <t>secretory 9</t>
  </si>
  <si>
    <t>secretory 10</t>
  </si>
  <si>
    <t>secretory 11</t>
  </si>
  <si>
    <t>secretory 12</t>
  </si>
  <si>
    <t>unannotated neurons</t>
  </si>
  <si>
    <t>pth1r+ neurons</t>
  </si>
  <si>
    <t>phagocyte progenitors</t>
  </si>
  <si>
    <t>germ cell progenitors</t>
  </si>
  <si>
    <t>neoblasts 3</t>
  </si>
  <si>
    <t>neoblasts 4</t>
  </si>
  <si>
    <t>neoblasts 6</t>
  </si>
  <si>
    <t>neoblasts 7</t>
  </si>
  <si>
    <t>neoblasts 8</t>
  </si>
  <si>
    <t>neoblasts 9</t>
  </si>
  <si>
    <t>neoblasts 10</t>
  </si>
  <si>
    <t>neoblasts 11</t>
  </si>
  <si>
    <t>neoblasts 13</t>
  </si>
  <si>
    <t>neoblasts 14</t>
  </si>
  <si>
    <t>neoblasts 15</t>
  </si>
  <si>
    <t>neoblasts 16</t>
  </si>
  <si>
    <t>neoblasts 5</t>
  </si>
  <si>
    <t>Cluster name</t>
  </si>
  <si>
    <t>Broad group</t>
  </si>
  <si>
    <t>Colour</t>
  </si>
  <si>
    <t>neurons</t>
  </si>
  <si>
    <t>#FEC44F</t>
  </si>
  <si>
    <t>neoblasts</t>
  </si>
  <si>
    <t>#C8C8C8</t>
  </si>
  <si>
    <t>muscle</t>
  </si>
  <si>
    <t>#B22222</t>
  </si>
  <si>
    <t>#CD5555</t>
  </si>
  <si>
    <t>#AFAFAF</t>
  </si>
  <si>
    <t>epidermal</t>
  </si>
  <si>
    <t>#9ECAE1</t>
  </si>
  <si>
    <t>#969696</t>
  </si>
  <si>
    <t>parenchymal</t>
  </si>
  <si>
    <t>#E066FF</t>
  </si>
  <si>
    <t>#FF69B4</t>
  </si>
  <si>
    <t>#228B22</t>
  </si>
  <si>
    <t>#821111</t>
  </si>
  <si>
    <t>#FFD900</t>
  </si>
  <si>
    <t>#56A0CE</t>
  </si>
  <si>
    <t>#869E42</t>
  </si>
  <si>
    <t>#FFDE00</t>
  </si>
  <si>
    <t>protonephridia</t>
  </si>
  <si>
    <t>#FFB0AB</t>
  </si>
  <si>
    <t>#FFD200</t>
  </si>
  <si>
    <t>secretory</t>
  </si>
  <si>
    <t>#6428C8</t>
  </si>
  <si>
    <t>#2171B5</t>
  </si>
  <si>
    <t>#80C480</t>
  </si>
  <si>
    <t>#FF9D00</t>
  </si>
  <si>
    <t>#997E04</t>
  </si>
  <si>
    <t>#FCDB74</t>
  </si>
  <si>
    <t>#F75394</t>
  </si>
  <si>
    <t>#FF1493</t>
  </si>
  <si>
    <t>#EE5C42</t>
  </si>
  <si>
    <t>#CD6889</t>
  </si>
  <si>
    <t>#4169E1</t>
  </si>
  <si>
    <t>#997404</t>
  </si>
  <si>
    <t>protonephridia flame cells</t>
  </si>
  <si>
    <t>#CD96CD</t>
  </si>
  <si>
    <t>#FFBE96</t>
  </si>
  <si>
    <t>#FFA500</t>
  </si>
  <si>
    <t>#7D7D7D</t>
  </si>
  <si>
    <t>#FF9900</t>
  </si>
  <si>
    <t>#9664C8</t>
  </si>
  <si>
    <t>#FF8C00</t>
  </si>
  <si>
    <t>#FF7F00</t>
  </si>
  <si>
    <t>#7800FA</t>
  </si>
  <si>
    <t>#FF6600</t>
  </si>
  <si>
    <t>#FF5722</t>
  </si>
  <si>
    <t>#8264C8</t>
  </si>
  <si>
    <t>#9650FA</t>
  </si>
  <si>
    <t>#5014B4</t>
  </si>
  <si>
    <t>#8B8B00</t>
  </si>
  <si>
    <t>unannotated 1</t>
  </si>
  <si>
    <t>#BCEE68</t>
  </si>
  <si>
    <t>#CD69CD</t>
  </si>
  <si>
    <t>unannotated 2</t>
  </si>
  <si>
    <t>#1E90FF</t>
  </si>
  <si>
    <t>unannotated 3</t>
  </si>
  <si>
    <t>#9632C8</t>
  </si>
  <si>
    <t>#3029C2</t>
  </si>
  <si>
    <t>#372FDE</t>
  </si>
  <si>
    <t>Cluster ID</t>
  </si>
  <si>
    <t>#6430C8</t>
  </si>
  <si>
    <t>#6438C8</t>
  </si>
  <si>
    <t>#6440C8</t>
  </si>
  <si>
    <t>#BFBFBF</t>
  </si>
  <si>
    <t>#B6B6B6</t>
  </si>
  <si>
    <t>#ADADAD</t>
  </si>
  <si>
    <t>#A4A4A4</t>
  </si>
  <si>
    <t>#9B9B9B</t>
  </si>
  <si>
    <t>#929292</t>
  </si>
  <si>
    <t>#8AB3DA</t>
  </si>
  <si>
    <t>#71A8D6</t>
  </si>
  <si>
    <t>protonephridia tubule cells</t>
  </si>
  <si>
    <t>#FF8000</t>
  </si>
  <si>
    <t>h1SMcG0020974</t>
  </si>
  <si>
    <t>ubc+ parenchymal cells</t>
  </si>
  <si>
    <t>#FA8CC3</t>
  </si>
  <si>
    <t>#E6E6E6</t>
  </si>
  <si>
    <t>#DED9D9</t>
  </si>
  <si>
    <t>#DADADA</t>
  </si>
  <si>
    <t>#B1B1B1</t>
  </si>
  <si>
    <t>#DBD7D7</t>
  </si>
  <si>
    <t>Cluster name - neoblast collapsed</t>
  </si>
  <si>
    <t>Colour - neoblast collapsed</t>
  </si>
  <si>
    <t>Diagnostic marker</t>
  </si>
  <si>
    <t>h1SMcG0007441</t>
  </si>
  <si>
    <t>n/a</t>
  </si>
  <si>
    <t>leiden_3_total</t>
  </si>
  <si>
    <t>Cluster order</t>
  </si>
  <si>
    <t>total</t>
  </si>
  <si>
    <t>leiden_3_gfp(RNAi)_B1</t>
  </si>
  <si>
    <t>leiden_3_gfp(RNAi)_B2</t>
  </si>
  <si>
    <t>leiden_3_lhx1/5-1(RNAi)_B1</t>
  </si>
  <si>
    <t>leiden_3_lhx1/5-1(RNAi)_B2</t>
  </si>
  <si>
    <t>leiden_3_pitx(RNAi)_B1</t>
  </si>
  <si>
    <t>leiden_3_pitx(RNAi)_B2</t>
  </si>
  <si>
    <t>% total</t>
  </si>
  <si>
    <t>Order Broad</t>
  </si>
  <si>
    <t>Cluster Order Sorted</t>
  </si>
  <si>
    <t>Counts Broad</t>
  </si>
  <si>
    <t>Broad Group</t>
  </si>
  <si>
    <t>order</t>
  </si>
  <si>
    <t>Colour B</t>
  </si>
  <si>
    <t>% Broad</t>
  </si>
  <si>
    <t>% gfp B1</t>
  </si>
  <si>
    <t>% gfp B2</t>
  </si>
  <si>
    <t>% lhx1/5-1 B1</t>
  </si>
  <si>
    <t>% lhx1/5-1 B2</t>
  </si>
  <si>
    <t>% pitx B1</t>
  </si>
  <si>
    <t>% pitx B2</t>
  </si>
  <si>
    <t>gfp B1</t>
  </si>
  <si>
    <t>gfp B2</t>
  </si>
  <si>
    <t>lhx1/5-1 B1</t>
  </si>
  <si>
    <t>lhx1/5-1 B2</t>
  </si>
  <si>
    <t>pitx B1</t>
  </si>
  <si>
    <t>pitx B2</t>
  </si>
  <si>
    <t>#258c37</t>
  </si>
  <si>
    <t>#ed6da6</t>
  </si>
  <si>
    <t>#f5aeac</t>
  </si>
  <si>
    <t>#2272b6</t>
  </si>
  <si>
    <t>#534193</t>
  </si>
  <si>
    <t>#fcc34f</t>
  </si>
  <si>
    <t>#b22223</t>
  </si>
  <si>
    <t>#edeeda</t>
  </si>
  <si>
    <t>#ff8400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</si>
</sst>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4" xfId="0" applyFont="1" applyBorder="1"/>
    <xf numFmtId="0" fontId="2" fillId="0" borderId="0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2" fontId="0" fillId="0" borderId="0" xfId="0" applyNumberFormat="1" applyBorder="1"/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4" xfId="0" applyBorder="1"/>
    <xf numFmtId="0" fontId="0" fillId="0" borderId="6" xfId="0" applyBorder="1"/>
    <xf numFmtId="0" fontId="1" fillId="0" borderId="0" xfId="0" applyFont="1"/>
    <xf numFmtId="0" fontId="2" fillId="2" borderId="0" xfId="0" applyFont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6"/>
  <sheetViews>
    <sheetView tabSelected="1" topLeftCell="Z1" zoomScale="96" zoomScaleNormal="96" workbookViewId="0">
      <selection activeCell="AN2" sqref="AN2:AN13"/>
    </sheetView>
  </sheetViews>
  <sheetFormatPr defaultRowHeight="14.4" x14ac:dyDescent="0.3"/>
  <cols>
    <col min="1" max="1" width="10.6640625" style="4" bestFit="1" customWidth="1"/>
    <col min="2" max="2" width="28.5546875" style="4" bestFit="1" customWidth="1"/>
    <col min="3" max="3" width="12.21875" style="4" customWidth="1"/>
    <col min="4" max="4" width="34" style="11" bestFit="1" customWidth="1"/>
    <col min="5" max="5" width="27.6640625" style="4" bestFit="1" customWidth="1"/>
    <col min="6" max="6" width="16.5546875" style="4" bestFit="1" customWidth="1"/>
    <col min="7" max="7" width="18.77734375" style="11" bestFit="1" customWidth="1"/>
    <col min="8" max="8" width="17.21875" style="11" bestFit="1" customWidth="1"/>
    <col min="9" max="9" width="18.33203125" style="11" bestFit="1" customWidth="1"/>
    <col min="10" max="10" width="28.77734375" style="11" bestFit="1" customWidth="1"/>
    <col min="11" max="11" width="29.44140625" style="11" bestFit="1" customWidth="1"/>
    <col min="12" max="12" width="33.44140625" style="11" bestFit="1" customWidth="1"/>
    <col min="13" max="13" width="34.109375" style="11" bestFit="1" customWidth="1"/>
    <col min="14" max="14" width="29.44140625" style="11" bestFit="1" customWidth="1"/>
    <col min="15" max="15" width="30" style="11" bestFit="1" customWidth="1"/>
    <col min="16" max="16" width="9.6640625" style="15" bestFit="1" customWidth="1"/>
    <col min="17" max="17" width="11.33203125" style="15" bestFit="1" customWidth="1"/>
    <col min="18" max="18" width="11.77734375" style="15" bestFit="1" customWidth="1"/>
    <col min="19" max="19" width="16.109375" style="15" bestFit="1" customWidth="1"/>
    <col min="20" max="20" width="16.5546875" style="15" bestFit="1" customWidth="1"/>
    <col min="21" max="21" width="11.77734375" style="15" bestFit="1" customWidth="1"/>
    <col min="22" max="22" width="12.21875" style="15" customWidth="1"/>
    <col min="23" max="23" width="15.5546875" style="15" bestFit="1" customWidth="1"/>
    <col min="24" max="24" width="25.33203125" style="11" bestFit="1" customWidth="1"/>
    <col min="25" max="25" width="18.88671875" style="11" customWidth="1"/>
    <col min="26" max="26" width="14.6640625" style="11" bestFit="1" customWidth="1"/>
    <col min="27" max="27" width="16.5546875" style="11" bestFit="1" customWidth="1"/>
    <col min="28" max="29" width="7.109375" style="11" bestFit="1" customWidth="1"/>
    <col min="30" max="30" width="7.77734375" style="11" bestFit="1" customWidth="1"/>
    <col min="31" max="31" width="10.44140625" customWidth="1"/>
    <col min="32" max="32" width="10.77734375" bestFit="1" customWidth="1"/>
    <col min="33" max="33" width="10.77734375" customWidth="1"/>
    <col min="34" max="34" width="7.77734375" bestFit="1" customWidth="1"/>
    <col min="36" max="36" width="10.77734375" customWidth="1"/>
  </cols>
  <sheetData>
    <row r="1" spans="1:36" x14ac:dyDescent="0.3">
      <c r="A1" s="8" t="s">
        <v>133</v>
      </c>
      <c r="B1" s="9" t="s">
        <v>69</v>
      </c>
      <c r="C1" s="9" t="s">
        <v>71</v>
      </c>
      <c r="D1" s="9" t="s">
        <v>155</v>
      </c>
      <c r="E1" s="9" t="s">
        <v>156</v>
      </c>
      <c r="F1" s="9" t="s">
        <v>70</v>
      </c>
      <c r="G1" s="10" t="s">
        <v>157</v>
      </c>
      <c r="H1" s="8" t="s">
        <v>161</v>
      </c>
      <c r="I1" s="9" t="s">
        <v>160</v>
      </c>
      <c r="J1" s="9" t="s">
        <v>163</v>
      </c>
      <c r="K1" s="9" t="s">
        <v>164</v>
      </c>
      <c r="L1" s="9" t="s">
        <v>165</v>
      </c>
      <c r="M1" s="9" t="s">
        <v>166</v>
      </c>
      <c r="N1" s="9" t="s">
        <v>167</v>
      </c>
      <c r="O1" s="9" t="s">
        <v>168</v>
      </c>
      <c r="P1" s="16" t="s">
        <v>169</v>
      </c>
      <c r="Q1" s="17" t="s">
        <v>177</v>
      </c>
      <c r="R1" s="17" t="s">
        <v>178</v>
      </c>
      <c r="S1" s="17" t="s">
        <v>179</v>
      </c>
      <c r="T1" s="17" t="s">
        <v>180</v>
      </c>
      <c r="U1" s="17" t="s">
        <v>181</v>
      </c>
      <c r="V1" s="18" t="s">
        <v>182</v>
      </c>
      <c r="W1" s="17" t="s">
        <v>170</v>
      </c>
      <c r="X1" s="10" t="s">
        <v>171</v>
      </c>
      <c r="Y1" s="14"/>
      <c r="Z1" s="26" t="s">
        <v>172</v>
      </c>
      <c r="AA1" s="8" t="s">
        <v>173</v>
      </c>
      <c r="AB1" s="9" t="s">
        <v>162</v>
      </c>
      <c r="AC1" s="9" t="s">
        <v>183</v>
      </c>
      <c r="AD1" s="9" t="s">
        <v>184</v>
      </c>
      <c r="AE1" s="9" t="s">
        <v>185</v>
      </c>
      <c r="AF1" s="9" t="s">
        <v>186</v>
      </c>
      <c r="AG1" s="9" t="s">
        <v>187</v>
      </c>
      <c r="AH1" s="9" t="s">
        <v>188</v>
      </c>
      <c r="AI1" s="9" t="s">
        <v>174</v>
      </c>
      <c r="AJ1" s="10" t="s">
        <v>175</v>
      </c>
    </row>
    <row r="2" spans="1:36" x14ac:dyDescent="0.3">
      <c r="A2" s="24">
        <v>0</v>
      </c>
      <c r="B2" s="11" t="s">
        <v>0</v>
      </c>
      <c r="C2" s="11" t="s">
        <v>75</v>
      </c>
      <c r="D2" s="11" t="s">
        <v>74</v>
      </c>
      <c r="E2" s="11" t="s">
        <v>75</v>
      </c>
      <c r="F2" s="11" t="s">
        <v>74</v>
      </c>
      <c r="G2" s="5" t="s">
        <v>159</v>
      </c>
      <c r="H2" s="3">
        <v>0</v>
      </c>
      <c r="I2" s="11">
        <v>3468</v>
      </c>
      <c r="J2" s="11">
        <v>561</v>
      </c>
      <c r="K2" s="11">
        <v>724</v>
      </c>
      <c r="L2" s="11">
        <v>364</v>
      </c>
      <c r="M2" s="11">
        <v>673</v>
      </c>
      <c r="N2" s="11">
        <v>467</v>
      </c>
      <c r="O2" s="11">
        <v>679</v>
      </c>
      <c r="P2" s="19">
        <f t="shared" ref="P2:P33" si="0">I2/I$76*100</f>
        <v>7.3350253807106593</v>
      </c>
      <c r="Q2" s="15">
        <f t="shared" ref="Q2:Q33" si="1">J2/J$76*100</f>
        <v>6.7314614830813539</v>
      </c>
      <c r="R2" s="15">
        <f t="shared" ref="R2:R33" si="2">K2/K$76*100</f>
        <v>8.6190476190476186</v>
      </c>
      <c r="S2" s="15">
        <f t="shared" ref="S2:S33" si="3">L2/L$76*100</f>
        <v>6.0565723793677204</v>
      </c>
      <c r="T2" s="15">
        <f t="shared" ref="T2:T33" si="4">M2/M$76*100</f>
        <v>7.2953929539295386</v>
      </c>
      <c r="U2" s="15">
        <f t="shared" ref="U2:U33" si="5">N2/N$76*100</f>
        <v>5.5787838967865255</v>
      </c>
      <c r="V2" s="20">
        <f t="shared" ref="V2:V33" si="6">O2/O$76*100</f>
        <v>9.7838616714697402</v>
      </c>
      <c r="W2" s="4">
        <v>0</v>
      </c>
      <c r="X2" s="5">
        <v>0</v>
      </c>
      <c r="Z2"/>
      <c r="AA2" s="24" t="s">
        <v>74</v>
      </c>
      <c r="AB2" s="11">
        <v>9862</v>
      </c>
      <c r="AC2" s="11">
        <v>1711</v>
      </c>
      <c r="AD2" s="11">
        <v>1984</v>
      </c>
      <c r="AE2" s="11">
        <v>1239</v>
      </c>
      <c r="AF2" s="11">
        <v>1755</v>
      </c>
      <c r="AG2" s="11">
        <v>1591</v>
      </c>
      <c r="AH2" s="11">
        <v>1582</v>
      </c>
      <c r="AI2" s="11">
        <v>0</v>
      </c>
      <c r="AJ2" s="5" t="s">
        <v>82</v>
      </c>
    </row>
    <row r="3" spans="1:36" x14ac:dyDescent="0.3">
      <c r="A3" s="24">
        <v>1</v>
      </c>
      <c r="B3" s="11" t="s">
        <v>1</v>
      </c>
      <c r="C3" s="11" t="s">
        <v>73</v>
      </c>
      <c r="D3" s="11" t="s">
        <v>1</v>
      </c>
      <c r="E3" s="11" t="s">
        <v>73</v>
      </c>
      <c r="F3" s="11" t="s">
        <v>72</v>
      </c>
      <c r="G3" s="5" t="s">
        <v>159</v>
      </c>
      <c r="H3" s="3">
        <v>1</v>
      </c>
      <c r="I3" s="11">
        <v>3335</v>
      </c>
      <c r="J3" s="11">
        <v>606</v>
      </c>
      <c r="K3" s="11">
        <v>526</v>
      </c>
      <c r="L3" s="11">
        <v>448</v>
      </c>
      <c r="M3" s="11">
        <v>706</v>
      </c>
      <c r="N3" s="11">
        <v>558</v>
      </c>
      <c r="O3" s="11">
        <v>491</v>
      </c>
      <c r="P3" s="19">
        <f t="shared" si="0"/>
        <v>7.0537225042301186</v>
      </c>
      <c r="Q3" s="15">
        <f t="shared" si="1"/>
        <v>7.2714182865370773</v>
      </c>
      <c r="R3" s="15">
        <f t="shared" si="2"/>
        <v>6.2619047619047619</v>
      </c>
      <c r="S3" s="15">
        <f t="shared" si="3"/>
        <v>7.4542429284525786</v>
      </c>
      <c r="T3" s="15">
        <f t="shared" si="4"/>
        <v>7.6531165311653115</v>
      </c>
      <c r="U3" s="15">
        <f t="shared" si="5"/>
        <v>6.6658702663958902</v>
      </c>
      <c r="V3" s="20">
        <f t="shared" si="6"/>
        <v>7.0749279538904908</v>
      </c>
      <c r="W3" s="4">
        <v>1</v>
      </c>
      <c r="X3" s="5">
        <v>16</v>
      </c>
      <c r="Z3"/>
      <c r="AA3" s="24" t="s">
        <v>72</v>
      </c>
      <c r="AB3" s="11">
        <v>9393</v>
      </c>
      <c r="AC3" s="11">
        <v>1719</v>
      </c>
      <c r="AD3" s="11">
        <v>1462</v>
      </c>
      <c r="AE3" s="11">
        <v>1276</v>
      </c>
      <c r="AF3" s="11">
        <v>1983</v>
      </c>
      <c r="AG3" s="11">
        <v>1674</v>
      </c>
      <c r="AH3" s="11">
        <v>1279</v>
      </c>
      <c r="AI3" s="11">
        <v>1</v>
      </c>
      <c r="AJ3" s="5" t="s">
        <v>194</v>
      </c>
    </row>
    <row r="4" spans="1:36" x14ac:dyDescent="0.3">
      <c r="A4" s="24">
        <v>2</v>
      </c>
      <c r="B4" s="11" t="s">
        <v>2</v>
      </c>
      <c r="C4" s="11" t="s">
        <v>77</v>
      </c>
      <c r="D4" s="11" t="s">
        <v>2</v>
      </c>
      <c r="E4" s="11" t="s">
        <v>77</v>
      </c>
      <c r="F4" s="11" t="s">
        <v>76</v>
      </c>
      <c r="G4" s="5" t="s">
        <v>159</v>
      </c>
      <c r="H4" s="3">
        <v>2</v>
      </c>
      <c r="I4" s="11">
        <v>2410</v>
      </c>
      <c r="J4" s="11">
        <v>396</v>
      </c>
      <c r="K4" s="11">
        <v>379</v>
      </c>
      <c r="L4" s="11">
        <v>288</v>
      </c>
      <c r="M4" s="11">
        <v>531</v>
      </c>
      <c r="N4" s="11">
        <v>530</v>
      </c>
      <c r="O4" s="11">
        <v>286</v>
      </c>
      <c r="P4" s="19">
        <f t="shared" si="0"/>
        <v>5.0972927241962775</v>
      </c>
      <c r="Q4" s="15">
        <f t="shared" si="1"/>
        <v>4.7516198704103676</v>
      </c>
      <c r="R4" s="15">
        <f t="shared" si="2"/>
        <v>4.5119047619047619</v>
      </c>
      <c r="S4" s="15">
        <f t="shared" si="3"/>
        <v>4.7920133111480867</v>
      </c>
      <c r="T4" s="15">
        <f t="shared" si="4"/>
        <v>5.7560975609756104</v>
      </c>
      <c r="U4" s="15">
        <f t="shared" si="5"/>
        <v>6.3313821526699314</v>
      </c>
      <c r="V4" s="20">
        <f t="shared" si="6"/>
        <v>4.1210374639769451</v>
      </c>
      <c r="W4" s="4">
        <v>2</v>
      </c>
      <c r="X4" s="5">
        <v>32</v>
      </c>
      <c r="Z4"/>
      <c r="AA4" s="24" t="s">
        <v>76</v>
      </c>
      <c r="AB4" s="11">
        <v>6478</v>
      </c>
      <c r="AC4" s="11">
        <v>1137</v>
      </c>
      <c r="AD4" s="11">
        <v>1071</v>
      </c>
      <c r="AE4" s="11">
        <v>748</v>
      </c>
      <c r="AF4" s="11">
        <v>1395</v>
      </c>
      <c r="AG4" s="11">
        <v>1290</v>
      </c>
      <c r="AH4" s="11">
        <v>837</v>
      </c>
      <c r="AI4" s="11">
        <v>2</v>
      </c>
      <c r="AJ4" s="5" t="s">
        <v>195</v>
      </c>
    </row>
    <row r="5" spans="1:36" x14ac:dyDescent="0.3">
      <c r="A5" s="24">
        <v>3</v>
      </c>
      <c r="B5" s="11" t="s">
        <v>3</v>
      </c>
      <c r="C5" s="11" t="s">
        <v>78</v>
      </c>
      <c r="D5" s="11" t="s">
        <v>3</v>
      </c>
      <c r="E5" s="11" t="s">
        <v>78</v>
      </c>
      <c r="F5" s="11" t="s">
        <v>76</v>
      </c>
      <c r="G5" s="5" t="s">
        <v>159</v>
      </c>
      <c r="H5" s="3">
        <v>3</v>
      </c>
      <c r="I5" s="11">
        <v>2404</v>
      </c>
      <c r="J5" s="11">
        <v>444</v>
      </c>
      <c r="K5" s="11">
        <v>431</v>
      </c>
      <c r="L5" s="11">
        <v>275</v>
      </c>
      <c r="M5" s="11">
        <v>491</v>
      </c>
      <c r="N5" s="11">
        <v>418</v>
      </c>
      <c r="O5" s="11">
        <v>345</v>
      </c>
      <c r="P5" s="19">
        <f t="shared" si="0"/>
        <v>5.084602368866328</v>
      </c>
      <c r="Q5" s="15">
        <f t="shared" si="1"/>
        <v>5.3275737940964722</v>
      </c>
      <c r="R5" s="15">
        <f t="shared" si="2"/>
        <v>5.1309523809523814</v>
      </c>
      <c r="S5" s="15">
        <f t="shared" si="3"/>
        <v>4.5757071547420969</v>
      </c>
      <c r="T5" s="15">
        <f t="shared" si="4"/>
        <v>5.3224932249322494</v>
      </c>
      <c r="U5" s="15">
        <f t="shared" si="5"/>
        <v>4.9934296977660972</v>
      </c>
      <c r="V5" s="20">
        <f t="shared" si="6"/>
        <v>4.9711815561959654</v>
      </c>
      <c r="W5" s="4">
        <v>2</v>
      </c>
      <c r="X5" s="5">
        <v>33</v>
      </c>
      <c r="Z5"/>
      <c r="AA5" s="24" t="s">
        <v>83</v>
      </c>
      <c r="AB5" s="11">
        <v>6322</v>
      </c>
      <c r="AC5" s="11">
        <v>1010</v>
      </c>
      <c r="AD5" s="11">
        <v>927</v>
      </c>
      <c r="AE5" s="11">
        <v>905</v>
      </c>
      <c r="AF5" s="11">
        <v>1371</v>
      </c>
      <c r="AG5" s="11">
        <v>1218</v>
      </c>
      <c r="AH5" s="11">
        <v>891</v>
      </c>
      <c r="AI5" s="11">
        <v>3</v>
      </c>
      <c r="AJ5" s="5" t="s">
        <v>190</v>
      </c>
    </row>
    <row r="6" spans="1:36" x14ac:dyDescent="0.3">
      <c r="A6" s="24">
        <v>4</v>
      </c>
      <c r="B6" s="11" t="s">
        <v>54</v>
      </c>
      <c r="C6" s="11" t="s">
        <v>98</v>
      </c>
      <c r="D6" s="11" t="s">
        <v>54</v>
      </c>
      <c r="E6" s="11" t="s">
        <v>98</v>
      </c>
      <c r="F6" s="11" t="s">
        <v>7</v>
      </c>
      <c r="G6" s="5" t="s">
        <v>159</v>
      </c>
      <c r="H6" s="3">
        <v>4</v>
      </c>
      <c r="I6" s="11">
        <v>2384</v>
      </c>
      <c r="J6" s="11">
        <v>458</v>
      </c>
      <c r="K6" s="11">
        <v>441</v>
      </c>
      <c r="L6" s="11">
        <v>275</v>
      </c>
      <c r="M6" s="11">
        <v>421</v>
      </c>
      <c r="N6" s="11">
        <v>374</v>
      </c>
      <c r="O6" s="11">
        <v>415</v>
      </c>
      <c r="P6" s="19">
        <f t="shared" si="0"/>
        <v>5.042301184433164</v>
      </c>
      <c r="Q6" s="15">
        <f t="shared" si="1"/>
        <v>5.4955603551715866</v>
      </c>
      <c r="R6" s="15">
        <f t="shared" si="2"/>
        <v>5.25</v>
      </c>
      <c r="S6" s="15">
        <f t="shared" si="3"/>
        <v>4.5757071547420969</v>
      </c>
      <c r="T6" s="15">
        <f t="shared" si="4"/>
        <v>4.5636856368563681</v>
      </c>
      <c r="U6" s="15">
        <f t="shared" si="5"/>
        <v>4.4678055190538766</v>
      </c>
      <c r="V6" s="20">
        <f t="shared" si="6"/>
        <v>5.9798270893371761</v>
      </c>
      <c r="W6" s="4">
        <v>5</v>
      </c>
      <c r="X6" s="5">
        <v>49</v>
      </c>
      <c r="Z6"/>
      <c r="AA6" s="24" t="s">
        <v>80</v>
      </c>
      <c r="AB6" s="11">
        <v>5855</v>
      </c>
      <c r="AC6" s="11">
        <v>1061</v>
      </c>
      <c r="AD6" s="11">
        <v>1103</v>
      </c>
      <c r="AE6" s="11">
        <v>743</v>
      </c>
      <c r="AF6" s="11">
        <v>1037</v>
      </c>
      <c r="AG6" s="11">
        <v>1045</v>
      </c>
      <c r="AH6" s="11">
        <v>866</v>
      </c>
      <c r="AI6" s="11">
        <v>4</v>
      </c>
      <c r="AJ6" s="5" t="s">
        <v>192</v>
      </c>
    </row>
    <row r="7" spans="1:36" x14ac:dyDescent="0.3">
      <c r="A7" s="24">
        <v>5</v>
      </c>
      <c r="B7" s="11" t="s">
        <v>56</v>
      </c>
      <c r="C7" s="11" t="s">
        <v>82</v>
      </c>
      <c r="D7" s="11" t="s">
        <v>74</v>
      </c>
      <c r="E7" s="11" t="s">
        <v>75</v>
      </c>
      <c r="F7" s="11" t="s">
        <v>74</v>
      </c>
      <c r="G7" s="5" t="s">
        <v>159</v>
      </c>
      <c r="H7" s="3">
        <v>5</v>
      </c>
      <c r="I7" s="11">
        <v>2316</v>
      </c>
      <c r="J7" s="11">
        <v>391</v>
      </c>
      <c r="K7" s="11">
        <v>496</v>
      </c>
      <c r="L7" s="11">
        <v>337</v>
      </c>
      <c r="M7" s="11">
        <v>395</v>
      </c>
      <c r="N7" s="11">
        <v>355</v>
      </c>
      <c r="O7" s="11">
        <v>342</v>
      </c>
      <c r="P7" s="19">
        <f t="shared" si="0"/>
        <v>4.8984771573604062</v>
      </c>
      <c r="Q7" s="15">
        <f t="shared" si="1"/>
        <v>4.6916246700263979</v>
      </c>
      <c r="R7" s="15">
        <f t="shared" si="2"/>
        <v>5.9047619047619051</v>
      </c>
      <c r="S7" s="15">
        <f t="shared" si="3"/>
        <v>5.6073211314475877</v>
      </c>
      <c r="T7" s="15">
        <f t="shared" si="4"/>
        <v>4.2818428184281849</v>
      </c>
      <c r="U7" s="15">
        <f t="shared" si="5"/>
        <v>4.2408314418826896</v>
      </c>
      <c r="V7" s="20">
        <f t="shared" si="6"/>
        <v>4.9279538904899134</v>
      </c>
      <c r="W7" s="4">
        <v>0</v>
      </c>
      <c r="X7" s="5">
        <v>1</v>
      </c>
      <c r="Z7"/>
      <c r="AA7" s="24" t="s">
        <v>7</v>
      </c>
      <c r="AB7" s="11">
        <v>4688</v>
      </c>
      <c r="AC7" s="11">
        <v>862</v>
      </c>
      <c r="AD7" s="11">
        <v>934</v>
      </c>
      <c r="AE7" s="11">
        <v>501</v>
      </c>
      <c r="AF7" s="11">
        <v>850</v>
      </c>
      <c r="AG7" s="11">
        <v>768</v>
      </c>
      <c r="AH7" s="11">
        <v>773</v>
      </c>
      <c r="AI7" s="11">
        <v>5</v>
      </c>
      <c r="AJ7" s="5" t="s">
        <v>189</v>
      </c>
    </row>
    <row r="8" spans="1:36" x14ac:dyDescent="0.3">
      <c r="A8" s="24">
        <v>6</v>
      </c>
      <c r="B8" s="11" t="s">
        <v>4</v>
      </c>
      <c r="C8" s="11" t="s">
        <v>85</v>
      </c>
      <c r="D8" s="11" t="s">
        <v>4</v>
      </c>
      <c r="E8" s="11" t="s">
        <v>85</v>
      </c>
      <c r="F8" s="11" t="s">
        <v>83</v>
      </c>
      <c r="G8" s="5" t="s">
        <v>159</v>
      </c>
      <c r="H8" s="3">
        <v>6</v>
      </c>
      <c r="I8" s="11">
        <v>2098</v>
      </c>
      <c r="J8" s="11">
        <v>344</v>
      </c>
      <c r="K8" s="11">
        <v>329</v>
      </c>
      <c r="L8" s="11">
        <v>331</v>
      </c>
      <c r="M8" s="11">
        <v>422</v>
      </c>
      <c r="N8" s="11">
        <v>373</v>
      </c>
      <c r="O8" s="11">
        <v>299</v>
      </c>
      <c r="P8" s="19">
        <f t="shared" si="0"/>
        <v>4.4373942470389167</v>
      </c>
      <c r="Q8" s="15">
        <f t="shared" si="1"/>
        <v>4.127669786417087</v>
      </c>
      <c r="R8" s="15">
        <f t="shared" si="2"/>
        <v>3.916666666666667</v>
      </c>
      <c r="S8" s="15">
        <f t="shared" si="3"/>
        <v>5.5074875207986684</v>
      </c>
      <c r="T8" s="15">
        <f t="shared" si="4"/>
        <v>4.5745257452574526</v>
      </c>
      <c r="U8" s="15">
        <f t="shared" si="5"/>
        <v>4.4558595149922349</v>
      </c>
      <c r="V8" s="20">
        <f t="shared" si="6"/>
        <v>4.3083573487031703</v>
      </c>
      <c r="W8" s="4">
        <v>3</v>
      </c>
      <c r="X8" s="5">
        <v>36</v>
      </c>
      <c r="Z8"/>
      <c r="AA8" s="24" t="s">
        <v>95</v>
      </c>
      <c r="AB8" s="11">
        <v>2580</v>
      </c>
      <c r="AC8" s="11">
        <v>454</v>
      </c>
      <c r="AD8" s="11">
        <v>560</v>
      </c>
      <c r="AE8" s="11">
        <v>321</v>
      </c>
      <c r="AF8" s="11">
        <v>439</v>
      </c>
      <c r="AG8" s="11">
        <v>410</v>
      </c>
      <c r="AH8" s="11">
        <v>396</v>
      </c>
      <c r="AI8" s="11">
        <v>6</v>
      </c>
      <c r="AJ8" s="5" t="s">
        <v>193</v>
      </c>
    </row>
    <row r="9" spans="1:36" x14ac:dyDescent="0.3">
      <c r="A9" s="24">
        <v>7</v>
      </c>
      <c r="B9" s="11" t="s">
        <v>5</v>
      </c>
      <c r="C9" s="11" t="s">
        <v>84</v>
      </c>
      <c r="D9" s="11" t="s">
        <v>5</v>
      </c>
      <c r="E9" s="11" t="s">
        <v>84</v>
      </c>
      <c r="F9" s="11" t="s">
        <v>83</v>
      </c>
      <c r="G9" s="5" t="s">
        <v>159</v>
      </c>
      <c r="H9" s="3">
        <v>7</v>
      </c>
      <c r="I9" s="11">
        <v>2007</v>
      </c>
      <c r="J9" s="11">
        <v>303</v>
      </c>
      <c r="K9" s="11">
        <v>295</v>
      </c>
      <c r="L9" s="11">
        <v>249</v>
      </c>
      <c r="M9" s="11">
        <v>444</v>
      </c>
      <c r="N9" s="11">
        <v>402</v>
      </c>
      <c r="O9" s="11">
        <v>314</v>
      </c>
      <c r="P9" s="19">
        <f t="shared" si="0"/>
        <v>4.2449238578680202</v>
      </c>
      <c r="Q9" s="15">
        <f t="shared" si="1"/>
        <v>3.6357091432685387</v>
      </c>
      <c r="R9" s="15">
        <f t="shared" si="2"/>
        <v>3.5119047619047619</v>
      </c>
      <c r="S9" s="15">
        <f t="shared" si="3"/>
        <v>4.1430948419301163</v>
      </c>
      <c r="T9" s="15">
        <f t="shared" si="4"/>
        <v>4.8130081300813012</v>
      </c>
      <c r="U9" s="15">
        <f t="shared" si="5"/>
        <v>4.8022936327798353</v>
      </c>
      <c r="V9" s="20">
        <f t="shared" si="6"/>
        <v>4.5244956772334293</v>
      </c>
      <c r="W9" s="4">
        <v>3</v>
      </c>
      <c r="X9" s="5">
        <v>37</v>
      </c>
      <c r="Z9"/>
      <c r="AA9" s="24" t="s">
        <v>92</v>
      </c>
      <c r="AB9" s="11">
        <v>1265</v>
      </c>
      <c r="AC9" s="11">
        <v>232</v>
      </c>
      <c r="AD9" s="11">
        <v>199</v>
      </c>
      <c r="AE9" s="11">
        <v>165</v>
      </c>
      <c r="AF9" s="11">
        <v>258</v>
      </c>
      <c r="AG9" s="11">
        <v>231</v>
      </c>
      <c r="AH9" s="11">
        <v>180</v>
      </c>
      <c r="AI9" s="11">
        <v>7</v>
      </c>
      <c r="AJ9" s="5" t="s">
        <v>191</v>
      </c>
    </row>
    <row r="10" spans="1:36" x14ac:dyDescent="0.3">
      <c r="A10" s="24">
        <v>8</v>
      </c>
      <c r="B10" s="11" t="s">
        <v>6</v>
      </c>
      <c r="C10" s="11" t="s">
        <v>89</v>
      </c>
      <c r="D10" s="11" t="s">
        <v>6</v>
      </c>
      <c r="E10" s="11" t="s">
        <v>89</v>
      </c>
      <c r="F10" s="11" t="s">
        <v>80</v>
      </c>
      <c r="G10" s="5" t="s">
        <v>159</v>
      </c>
      <c r="H10" s="3">
        <v>8</v>
      </c>
      <c r="I10" s="11">
        <v>1733</v>
      </c>
      <c r="J10" s="11">
        <v>304</v>
      </c>
      <c r="K10" s="11">
        <v>335</v>
      </c>
      <c r="L10" s="11">
        <v>226</v>
      </c>
      <c r="M10" s="11">
        <v>327</v>
      </c>
      <c r="N10" s="11">
        <v>295</v>
      </c>
      <c r="O10" s="11">
        <v>246</v>
      </c>
      <c r="P10" s="19">
        <f t="shared" si="0"/>
        <v>3.665397631133672</v>
      </c>
      <c r="Q10" s="15">
        <f t="shared" si="1"/>
        <v>3.647708183345332</v>
      </c>
      <c r="R10" s="15">
        <f t="shared" si="2"/>
        <v>3.9880952380952377</v>
      </c>
      <c r="S10" s="15">
        <f t="shared" si="3"/>
        <v>3.7603993344425954</v>
      </c>
      <c r="T10" s="15">
        <f t="shared" si="4"/>
        <v>3.5447154471544713</v>
      </c>
      <c r="U10" s="15">
        <f t="shared" si="5"/>
        <v>3.5240711981842074</v>
      </c>
      <c r="V10" s="20">
        <f t="shared" si="6"/>
        <v>3.5446685878962532</v>
      </c>
      <c r="W10" s="4">
        <v>4</v>
      </c>
      <c r="X10" s="5">
        <v>44</v>
      </c>
      <c r="Z10"/>
      <c r="AA10" s="24" t="s">
        <v>21</v>
      </c>
      <c r="AB10" s="11">
        <v>462</v>
      </c>
      <c r="AC10" s="11">
        <v>82</v>
      </c>
      <c r="AD10" s="11">
        <v>86</v>
      </c>
      <c r="AE10" s="11">
        <v>70</v>
      </c>
      <c r="AF10" s="11">
        <v>79</v>
      </c>
      <c r="AG10" s="11">
        <v>78</v>
      </c>
      <c r="AH10" s="11">
        <v>67</v>
      </c>
      <c r="AI10" s="11">
        <v>8</v>
      </c>
      <c r="AJ10" s="5" t="s">
        <v>106</v>
      </c>
    </row>
    <row r="11" spans="1:36" x14ac:dyDescent="0.3">
      <c r="A11" s="24">
        <v>9</v>
      </c>
      <c r="B11" s="11" t="s">
        <v>42</v>
      </c>
      <c r="C11" s="11" t="s">
        <v>81</v>
      </c>
      <c r="D11" s="11" t="s">
        <v>42</v>
      </c>
      <c r="E11" s="11" t="s">
        <v>81</v>
      </c>
      <c r="F11" s="11" t="s">
        <v>80</v>
      </c>
      <c r="G11" s="5" t="s">
        <v>159</v>
      </c>
      <c r="H11" s="3">
        <v>9</v>
      </c>
      <c r="I11" s="11">
        <v>1726</v>
      </c>
      <c r="J11" s="11">
        <v>296</v>
      </c>
      <c r="K11" s="11">
        <v>272</v>
      </c>
      <c r="L11" s="11">
        <v>185</v>
      </c>
      <c r="M11" s="11">
        <v>371</v>
      </c>
      <c r="N11" s="11">
        <v>338</v>
      </c>
      <c r="O11" s="11">
        <v>264</v>
      </c>
      <c r="P11" s="19">
        <f t="shared" si="0"/>
        <v>3.6505922165820643</v>
      </c>
      <c r="Q11" s="15">
        <f t="shared" si="1"/>
        <v>3.5517158627309815</v>
      </c>
      <c r="R11" s="15">
        <f t="shared" si="2"/>
        <v>3.2380952380952377</v>
      </c>
      <c r="S11" s="15">
        <f t="shared" si="3"/>
        <v>3.0782029950083194</v>
      </c>
      <c r="T11" s="15">
        <f t="shared" si="4"/>
        <v>4.0216802168021681</v>
      </c>
      <c r="U11" s="15">
        <f t="shared" si="5"/>
        <v>4.0377493728347869</v>
      </c>
      <c r="V11" s="20">
        <f t="shared" si="6"/>
        <v>3.804034582132565</v>
      </c>
      <c r="W11" s="4">
        <v>4</v>
      </c>
      <c r="X11" s="5">
        <v>45</v>
      </c>
      <c r="Z11"/>
      <c r="AA11" s="24" t="s">
        <v>34</v>
      </c>
      <c r="AB11" s="11">
        <v>190</v>
      </c>
      <c r="AC11" s="11">
        <v>39</v>
      </c>
      <c r="AD11" s="11">
        <v>39</v>
      </c>
      <c r="AE11" s="11">
        <v>17</v>
      </c>
      <c r="AF11" s="11">
        <v>24</v>
      </c>
      <c r="AG11" s="11">
        <v>27</v>
      </c>
      <c r="AH11" s="11">
        <v>44</v>
      </c>
      <c r="AI11" s="11">
        <v>9</v>
      </c>
      <c r="AJ11" s="5" t="s">
        <v>125</v>
      </c>
    </row>
    <row r="12" spans="1:36" x14ac:dyDescent="0.3">
      <c r="A12" s="24">
        <v>10</v>
      </c>
      <c r="B12" s="11" t="s">
        <v>7</v>
      </c>
      <c r="C12" s="11" t="s">
        <v>86</v>
      </c>
      <c r="D12" s="11" t="s">
        <v>7</v>
      </c>
      <c r="E12" s="11" t="s">
        <v>86</v>
      </c>
      <c r="F12" s="11" t="s">
        <v>7</v>
      </c>
      <c r="G12" s="5" t="s">
        <v>159</v>
      </c>
      <c r="H12" s="3">
        <v>10</v>
      </c>
      <c r="I12" s="11">
        <v>1533</v>
      </c>
      <c r="J12" s="11">
        <v>257</v>
      </c>
      <c r="K12" s="11">
        <v>354</v>
      </c>
      <c r="L12" s="11">
        <v>150</v>
      </c>
      <c r="M12" s="11">
        <v>273</v>
      </c>
      <c r="N12" s="11">
        <v>256</v>
      </c>
      <c r="O12" s="11">
        <v>243</v>
      </c>
      <c r="P12" s="19">
        <f t="shared" si="0"/>
        <v>3.2423857868020303</v>
      </c>
      <c r="Q12" s="15">
        <f t="shared" si="1"/>
        <v>3.0837532997360211</v>
      </c>
      <c r="R12" s="15">
        <f t="shared" si="2"/>
        <v>4.2142857142857144</v>
      </c>
      <c r="S12" s="15">
        <f t="shared" si="3"/>
        <v>2.4958402662229617</v>
      </c>
      <c r="T12" s="15">
        <f t="shared" si="4"/>
        <v>2.9593495934959351</v>
      </c>
      <c r="U12" s="15">
        <f t="shared" si="5"/>
        <v>3.0581770397801935</v>
      </c>
      <c r="V12" s="20">
        <f t="shared" si="6"/>
        <v>3.5014409221902012</v>
      </c>
      <c r="W12" s="4">
        <v>5</v>
      </c>
      <c r="X12" s="5">
        <v>50</v>
      </c>
      <c r="Z12"/>
      <c r="AA12" s="24" t="s">
        <v>35</v>
      </c>
      <c r="AB12" s="11">
        <v>147</v>
      </c>
      <c r="AC12" s="11">
        <v>22</v>
      </c>
      <c r="AD12" s="11">
        <v>25</v>
      </c>
      <c r="AE12" s="11">
        <v>23</v>
      </c>
      <c r="AF12" s="11">
        <v>26</v>
      </c>
      <c r="AG12" s="11">
        <v>33</v>
      </c>
      <c r="AH12" s="11">
        <v>18</v>
      </c>
      <c r="AI12" s="11">
        <v>10</v>
      </c>
      <c r="AJ12" s="5" t="s">
        <v>128</v>
      </c>
    </row>
    <row r="13" spans="1:36" ht="15" thickBot="1" x14ac:dyDescent="0.35">
      <c r="A13" s="24">
        <v>11</v>
      </c>
      <c r="B13" s="11" t="s">
        <v>8</v>
      </c>
      <c r="C13" s="11" t="s">
        <v>79</v>
      </c>
      <c r="D13" s="11" t="s">
        <v>74</v>
      </c>
      <c r="E13" s="11" t="s">
        <v>75</v>
      </c>
      <c r="F13" s="11" t="s">
        <v>74</v>
      </c>
      <c r="G13" s="5" t="s">
        <v>159</v>
      </c>
      <c r="H13" s="3">
        <v>11</v>
      </c>
      <c r="I13" s="11">
        <v>1269</v>
      </c>
      <c r="J13" s="11">
        <v>239</v>
      </c>
      <c r="K13" s="11">
        <v>213</v>
      </c>
      <c r="L13" s="11">
        <v>199</v>
      </c>
      <c r="M13" s="11">
        <v>179</v>
      </c>
      <c r="N13" s="11">
        <v>245</v>
      </c>
      <c r="O13" s="11">
        <v>194</v>
      </c>
      <c r="P13" s="19">
        <f t="shared" si="0"/>
        <v>2.6840101522842641</v>
      </c>
      <c r="Q13" s="15">
        <f t="shared" si="1"/>
        <v>2.8677705783537317</v>
      </c>
      <c r="R13" s="15">
        <f t="shared" si="2"/>
        <v>2.5357142857142856</v>
      </c>
      <c r="S13" s="15">
        <f t="shared" si="3"/>
        <v>3.3111480865224627</v>
      </c>
      <c r="T13" s="15">
        <f t="shared" si="4"/>
        <v>1.9403794037940378</v>
      </c>
      <c r="U13" s="15">
        <f t="shared" si="5"/>
        <v>2.9267709951021383</v>
      </c>
      <c r="V13" s="20">
        <f t="shared" si="6"/>
        <v>2.7953890489913547</v>
      </c>
      <c r="W13" s="4">
        <v>0</v>
      </c>
      <c r="X13" s="5">
        <v>2</v>
      </c>
      <c r="Z13"/>
      <c r="AA13" s="25" t="s">
        <v>47</v>
      </c>
      <c r="AB13" s="12">
        <v>50</v>
      </c>
      <c r="AC13" s="12">
        <v>8</v>
      </c>
      <c r="AD13" s="12">
        <v>12</v>
      </c>
      <c r="AE13" s="12">
        <v>4</v>
      </c>
      <c r="AF13" s="12">
        <v>8</v>
      </c>
      <c r="AG13" s="12">
        <v>8</v>
      </c>
      <c r="AH13" s="12">
        <v>10</v>
      </c>
      <c r="AI13" s="12">
        <v>11</v>
      </c>
      <c r="AJ13" s="13" t="s">
        <v>150</v>
      </c>
    </row>
    <row r="14" spans="1:36" x14ac:dyDescent="0.3">
      <c r="A14" s="24">
        <v>12</v>
      </c>
      <c r="B14" s="11" t="s">
        <v>9</v>
      </c>
      <c r="C14" s="11" t="s">
        <v>87</v>
      </c>
      <c r="D14" s="11" t="s">
        <v>9</v>
      </c>
      <c r="E14" s="11" t="s">
        <v>87</v>
      </c>
      <c r="F14" s="11" t="s">
        <v>76</v>
      </c>
      <c r="G14" s="5" t="s">
        <v>159</v>
      </c>
      <c r="H14" s="3">
        <v>12</v>
      </c>
      <c r="I14" s="11">
        <v>1166</v>
      </c>
      <c r="J14" s="11">
        <v>207</v>
      </c>
      <c r="K14" s="11">
        <v>183</v>
      </c>
      <c r="L14" s="11">
        <v>120</v>
      </c>
      <c r="M14" s="11">
        <v>269</v>
      </c>
      <c r="N14" s="11">
        <v>243</v>
      </c>
      <c r="O14" s="11">
        <v>144</v>
      </c>
      <c r="P14" s="19">
        <f t="shared" si="0"/>
        <v>2.4661590524534689</v>
      </c>
      <c r="Q14" s="15">
        <f t="shared" si="1"/>
        <v>2.4838012958963285</v>
      </c>
      <c r="R14" s="15">
        <f t="shared" si="2"/>
        <v>2.1785714285714288</v>
      </c>
      <c r="S14" s="15">
        <f t="shared" si="3"/>
        <v>1.9966722129783694</v>
      </c>
      <c r="T14" s="15">
        <f t="shared" si="4"/>
        <v>2.9159891598915988</v>
      </c>
      <c r="U14" s="15">
        <f t="shared" si="5"/>
        <v>2.9028789869788558</v>
      </c>
      <c r="V14" s="20">
        <f t="shared" si="6"/>
        <v>2.0749279538904899</v>
      </c>
      <c r="W14" s="4">
        <v>2</v>
      </c>
      <c r="X14" s="5">
        <v>34</v>
      </c>
      <c r="Z14"/>
      <c r="AA14"/>
      <c r="AB14"/>
      <c r="AC14"/>
      <c r="AD14"/>
    </row>
    <row r="15" spans="1:36" x14ac:dyDescent="0.3">
      <c r="A15" s="24">
        <v>13</v>
      </c>
      <c r="B15" s="11" t="s">
        <v>43</v>
      </c>
      <c r="C15" s="11" t="s">
        <v>97</v>
      </c>
      <c r="D15" s="11" t="s">
        <v>43</v>
      </c>
      <c r="E15" s="11" t="s">
        <v>97</v>
      </c>
      <c r="F15" s="11" t="s">
        <v>80</v>
      </c>
      <c r="G15" s="5" t="s">
        <v>159</v>
      </c>
      <c r="H15" s="3">
        <v>13</v>
      </c>
      <c r="I15" s="11">
        <v>1154</v>
      </c>
      <c r="J15" s="11">
        <v>243</v>
      </c>
      <c r="K15" s="11">
        <v>267</v>
      </c>
      <c r="L15" s="11">
        <v>150</v>
      </c>
      <c r="M15" s="11">
        <v>139</v>
      </c>
      <c r="N15" s="11">
        <v>171</v>
      </c>
      <c r="O15" s="11">
        <v>184</v>
      </c>
      <c r="P15" s="19">
        <f t="shared" si="0"/>
        <v>2.4407783417935702</v>
      </c>
      <c r="Q15" s="15">
        <f t="shared" si="1"/>
        <v>2.9157667386609072</v>
      </c>
      <c r="R15" s="15">
        <f t="shared" si="2"/>
        <v>3.1785714285714284</v>
      </c>
      <c r="S15" s="15">
        <f t="shared" si="3"/>
        <v>2.4958402662229617</v>
      </c>
      <c r="T15" s="15">
        <f t="shared" si="4"/>
        <v>1.5067750677506775</v>
      </c>
      <c r="U15" s="15">
        <f t="shared" si="5"/>
        <v>2.0427666945406759</v>
      </c>
      <c r="V15" s="20">
        <f t="shared" si="6"/>
        <v>2.6512968299711814</v>
      </c>
      <c r="W15" s="4">
        <v>4</v>
      </c>
      <c r="X15" s="5">
        <v>46</v>
      </c>
      <c r="Z15"/>
      <c r="AA15" s="2" t="s">
        <v>162</v>
      </c>
      <c r="AB15" s="2">
        <f>SUM(AB2:AB13)</f>
        <v>47292</v>
      </c>
      <c r="AC15" s="2">
        <f t="shared" ref="AC15:AI15" si="7">SUM(AC2:AC13)</f>
        <v>8337</v>
      </c>
      <c r="AD15" s="2">
        <f t="shared" si="7"/>
        <v>8402</v>
      </c>
      <c r="AE15" s="2">
        <f t="shared" si="7"/>
        <v>6012</v>
      </c>
      <c r="AF15" s="2">
        <f t="shared" si="7"/>
        <v>9225</v>
      </c>
      <c r="AG15" s="2">
        <f t="shared" si="7"/>
        <v>8373</v>
      </c>
      <c r="AH15" s="2">
        <f t="shared" si="7"/>
        <v>6943</v>
      </c>
      <c r="AI15" s="2">
        <f t="shared" si="7"/>
        <v>66</v>
      </c>
    </row>
    <row r="16" spans="1:36" x14ac:dyDescent="0.3">
      <c r="A16" s="24">
        <v>14</v>
      </c>
      <c r="B16" s="11" t="s">
        <v>10</v>
      </c>
      <c r="C16" s="11" t="s">
        <v>196</v>
      </c>
      <c r="D16" s="11" t="s">
        <v>10</v>
      </c>
      <c r="E16" s="11" t="s">
        <v>94</v>
      </c>
      <c r="F16" s="11" t="s">
        <v>74</v>
      </c>
      <c r="G16" s="5" t="s">
        <v>159</v>
      </c>
      <c r="H16" s="3">
        <v>14</v>
      </c>
      <c r="I16" s="11">
        <v>1112</v>
      </c>
      <c r="J16" s="11">
        <v>193</v>
      </c>
      <c r="K16" s="11">
        <v>189</v>
      </c>
      <c r="L16" s="11">
        <v>120</v>
      </c>
      <c r="M16" s="11">
        <v>232</v>
      </c>
      <c r="N16" s="11">
        <v>231</v>
      </c>
      <c r="O16" s="11">
        <v>147</v>
      </c>
      <c r="P16" s="19">
        <f t="shared" si="0"/>
        <v>2.3519458544839256</v>
      </c>
      <c r="Q16" s="15">
        <f t="shared" si="1"/>
        <v>2.3158147348212141</v>
      </c>
      <c r="R16" s="15">
        <f t="shared" si="2"/>
        <v>2.25</v>
      </c>
      <c r="S16" s="15">
        <f t="shared" si="3"/>
        <v>1.9966722129783694</v>
      </c>
      <c r="T16" s="15">
        <f t="shared" si="4"/>
        <v>2.5149051490514904</v>
      </c>
      <c r="U16" s="15">
        <f t="shared" si="5"/>
        <v>2.759526938239159</v>
      </c>
      <c r="V16" s="20">
        <f t="shared" si="6"/>
        <v>2.1181556195965419</v>
      </c>
      <c r="W16" s="4">
        <v>0</v>
      </c>
      <c r="X16" s="5">
        <v>3</v>
      </c>
      <c r="Z16"/>
      <c r="AA16"/>
      <c r="AB16"/>
      <c r="AC16"/>
      <c r="AD16"/>
    </row>
    <row r="17" spans="1:34" ht="15" thickBot="1" x14ac:dyDescent="0.35">
      <c r="A17" s="24">
        <v>15</v>
      </c>
      <c r="B17" s="11" t="s">
        <v>11</v>
      </c>
      <c r="C17" s="11" t="s">
        <v>88</v>
      </c>
      <c r="D17" s="11" t="s">
        <v>11</v>
      </c>
      <c r="E17" s="11" t="s">
        <v>88</v>
      </c>
      <c r="F17" s="11" t="s">
        <v>72</v>
      </c>
      <c r="G17" s="5" t="s">
        <v>159</v>
      </c>
      <c r="H17" s="3">
        <v>15</v>
      </c>
      <c r="I17" s="11">
        <v>1023</v>
      </c>
      <c r="J17" s="11">
        <v>209</v>
      </c>
      <c r="K17" s="11">
        <v>160</v>
      </c>
      <c r="L17" s="11">
        <v>121</v>
      </c>
      <c r="M17" s="11">
        <v>202</v>
      </c>
      <c r="N17" s="11">
        <v>174</v>
      </c>
      <c r="O17" s="11">
        <v>157</v>
      </c>
      <c r="P17" s="19">
        <f t="shared" si="0"/>
        <v>2.1637055837563453</v>
      </c>
      <c r="Q17" s="15">
        <f t="shared" si="1"/>
        <v>2.507799376049916</v>
      </c>
      <c r="R17" s="15">
        <f t="shared" si="2"/>
        <v>1.9047619047619049</v>
      </c>
      <c r="S17" s="15">
        <f t="shared" si="3"/>
        <v>2.0133111480865225</v>
      </c>
      <c r="T17" s="15">
        <f t="shared" si="4"/>
        <v>2.1897018970189706</v>
      </c>
      <c r="U17" s="15">
        <f t="shared" si="5"/>
        <v>2.0786047067256002</v>
      </c>
      <c r="V17" s="20">
        <f t="shared" si="6"/>
        <v>2.2622478386167146</v>
      </c>
      <c r="W17" s="4">
        <v>1</v>
      </c>
      <c r="X17" s="5">
        <v>17</v>
      </c>
      <c r="Z17"/>
      <c r="AA17"/>
      <c r="AB17"/>
      <c r="AC17"/>
      <c r="AD17"/>
    </row>
    <row r="18" spans="1:34" x14ac:dyDescent="0.3">
      <c r="A18" s="24">
        <v>16</v>
      </c>
      <c r="B18" s="11" t="s">
        <v>12</v>
      </c>
      <c r="C18" s="11" t="s">
        <v>100</v>
      </c>
      <c r="D18" s="11" t="s">
        <v>12</v>
      </c>
      <c r="E18" s="11" t="s">
        <v>100</v>
      </c>
      <c r="F18" s="11" t="s">
        <v>72</v>
      </c>
      <c r="G18" s="5" t="s">
        <v>159</v>
      </c>
      <c r="H18" s="3">
        <v>16</v>
      </c>
      <c r="I18" s="11">
        <v>856</v>
      </c>
      <c r="J18" s="11">
        <v>134</v>
      </c>
      <c r="K18" s="11">
        <v>131</v>
      </c>
      <c r="L18" s="11">
        <v>126</v>
      </c>
      <c r="M18" s="11">
        <v>189</v>
      </c>
      <c r="N18" s="11">
        <v>157</v>
      </c>
      <c r="O18" s="11">
        <v>119</v>
      </c>
      <c r="P18" s="19">
        <f t="shared" si="0"/>
        <v>1.8104906937394245</v>
      </c>
      <c r="Q18" s="15">
        <f t="shared" si="1"/>
        <v>1.6078713702903769</v>
      </c>
      <c r="R18" s="15">
        <f t="shared" si="2"/>
        <v>1.5595238095238095</v>
      </c>
      <c r="S18" s="15">
        <f t="shared" si="3"/>
        <v>2.0965058236272878</v>
      </c>
      <c r="T18" s="15">
        <f t="shared" si="4"/>
        <v>2.0487804878048781</v>
      </c>
      <c r="U18" s="15">
        <f t="shared" si="5"/>
        <v>1.8755226376776968</v>
      </c>
      <c r="V18" s="20">
        <f t="shared" si="6"/>
        <v>1.7146974063400575</v>
      </c>
      <c r="W18" s="4">
        <v>1</v>
      </c>
      <c r="X18" s="5">
        <v>18</v>
      </c>
      <c r="Z18" s="26" t="s">
        <v>176</v>
      </c>
      <c r="AA18" s="8" t="s">
        <v>173</v>
      </c>
      <c r="AB18" s="9" t="s">
        <v>162</v>
      </c>
      <c r="AC18" s="9" t="s">
        <v>183</v>
      </c>
      <c r="AD18" s="9" t="s">
        <v>184</v>
      </c>
      <c r="AE18" s="9" t="s">
        <v>185</v>
      </c>
      <c r="AF18" s="9" t="s">
        <v>186</v>
      </c>
      <c r="AG18" s="9" t="s">
        <v>187</v>
      </c>
      <c r="AH18" s="10" t="s">
        <v>188</v>
      </c>
    </row>
    <row r="19" spans="1:34" x14ac:dyDescent="0.3">
      <c r="A19" s="24">
        <v>17</v>
      </c>
      <c r="B19" s="11" t="s">
        <v>108</v>
      </c>
      <c r="C19" s="11" t="s">
        <v>93</v>
      </c>
      <c r="D19" s="11" t="s">
        <v>108</v>
      </c>
      <c r="E19" s="11" t="s">
        <v>93</v>
      </c>
      <c r="F19" s="11" t="s">
        <v>92</v>
      </c>
      <c r="G19" s="5" t="s">
        <v>159</v>
      </c>
      <c r="H19" s="3">
        <v>17</v>
      </c>
      <c r="I19" s="11">
        <v>844</v>
      </c>
      <c r="J19" s="11">
        <v>144</v>
      </c>
      <c r="K19" s="11">
        <v>133</v>
      </c>
      <c r="L19" s="11">
        <v>116</v>
      </c>
      <c r="M19" s="11">
        <v>173</v>
      </c>
      <c r="N19" s="11">
        <v>151</v>
      </c>
      <c r="O19" s="11">
        <v>127</v>
      </c>
      <c r="P19" s="19">
        <f t="shared" si="0"/>
        <v>1.7851099830795261</v>
      </c>
      <c r="Q19" s="15">
        <f t="shared" si="1"/>
        <v>1.7278617710583155</v>
      </c>
      <c r="R19" s="15">
        <f t="shared" si="2"/>
        <v>1.5833333333333335</v>
      </c>
      <c r="S19" s="15">
        <f t="shared" si="3"/>
        <v>1.9301164725457571</v>
      </c>
      <c r="T19" s="15">
        <f t="shared" si="4"/>
        <v>1.8753387533875339</v>
      </c>
      <c r="U19" s="15">
        <f t="shared" si="5"/>
        <v>1.8038466133078486</v>
      </c>
      <c r="V19" s="20">
        <f t="shared" si="6"/>
        <v>1.8299711815561959</v>
      </c>
      <c r="W19" s="4">
        <v>7</v>
      </c>
      <c r="X19" s="5">
        <v>66</v>
      </c>
      <c r="Z19"/>
      <c r="AA19" s="24" t="s">
        <v>74</v>
      </c>
      <c r="AB19" s="11">
        <f>AB2/AB$15*100</f>
        <v>20.85342129747103</v>
      </c>
      <c r="AC19" s="11">
        <f t="shared" ref="AC19:AH19" si="8">AC2/AC$15*100</f>
        <v>20.52296989324697</v>
      </c>
      <c r="AD19" s="11">
        <f t="shared" si="8"/>
        <v>23.613425374910733</v>
      </c>
      <c r="AE19" s="11">
        <f t="shared" si="8"/>
        <v>20.60878243512974</v>
      </c>
      <c r="AF19" s="11">
        <f t="shared" si="8"/>
        <v>19.024390243902438</v>
      </c>
      <c r="AG19" s="11">
        <f t="shared" si="8"/>
        <v>19.001552609578408</v>
      </c>
      <c r="AH19" s="5">
        <f t="shared" si="8"/>
        <v>22.785539392193577</v>
      </c>
    </row>
    <row r="20" spans="1:34" x14ac:dyDescent="0.3">
      <c r="A20" s="24">
        <v>18</v>
      </c>
      <c r="B20" s="11" t="s">
        <v>44</v>
      </c>
      <c r="C20" s="11" t="s">
        <v>143</v>
      </c>
      <c r="D20" s="11" t="s">
        <v>44</v>
      </c>
      <c r="E20" s="11" t="s">
        <v>143</v>
      </c>
      <c r="F20" s="11" t="s">
        <v>80</v>
      </c>
      <c r="G20" s="5" t="s">
        <v>159</v>
      </c>
      <c r="H20" s="3">
        <v>18</v>
      </c>
      <c r="I20" s="11">
        <v>750</v>
      </c>
      <c r="J20" s="11">
        <v>144</v>
      </c>
      <c r="K20" s="11">
        <v>138</v>
      </c>
      <c r="L20" s="11">
        <v>82</v>
      </c>
      <c r="M20" s="11">
        <v>123</v>
      </c>
      <c r="N20" s="11">
        <v>153</v>
      </c>
      <c r="O20" s="11">
        <v>110</v>
      </c>
      <c r="P20" s="19">
        <f t="shared" si="0"/>
        <v>1.5862944162436547</v>
      </c>
      <c r="Q20" s="15">
        <f t="shared" si="1"/>
        <v>1.7278617710583155</v>
      </c>
      <c r="R20" s="15">
        <f t="shared" si="2"/>
        <v>1.6428571428571428</v>
      </c>
      <c r="S20" s="15">
        <f t="shared" si="3"/>
        <v>1.3643926788685523</v>
      </c>
      <c r="T20" s="15">
        <f t="shared" si="4"/>
        <v>1.3333333333333335</v>
      </c>
      <c r="U20" s="15">
        <f t="shared" si="5"/>
        <v>1.8277386214311311</v>
      </c>
      <c r="V20" s="20">
        <f t="shared" si="6"/>
        <v>1.5850144092219021</v>
      </c>
      <c r="W20" s="4">
        <v>4</v>
      </c>
      <c r="X20" s="5">
        <v>47</v>
      </c>
      <c r="Z20"/>
      <c r="AA20" s="24" t="s">
        <v>72</v>
      </c>
      <c r="AB20" s="11">
        <f t="shared" ref="AB20:AH30" si="9">AB3/AB$15*100</f>
        <v>19.861710225831008</v>
      </c>
      <c r="AC20" s="11">
        <f t="shared" si="9"/>
        <v>20.618927671824398</v>
      </c>
      <c r="AD20" s="11">
        <f t="shared" si="9"/>
        <v>17.40061890026184</v>
      </c>
      <c r="AE20" s="11">
        <f t="shared" si="9"/>
        <v>21.224218230206255</v>
      </c>
      <c r="AF20" s="11">
        <f t="shared" si="9"/>
        <v>21.495934959349594</v>
      </c>
      <c r="AG20" s="11">
        <f t="shared" si="9"/>
        <v>19.992834109638121</v>
      </c>
      <c r="AH20" s="5">
        <f t="shared" si="9"/>
        <v>18.421431657784819</v>
      </c>
    </row>
    <row r="21" spans="1:34" x14ac:dyDescent="0.3">
      <c r="A21" s="24">
        <v>19</v>
      </c>
      <c r="B21" s="11" t="s">
        <v>13</v>
      </c>
      <c r="C21" s="11" t="s">
        <v>99</v>
      </c>
      <c r="D21" s="11" t="s">
        <v>13</v>
      </c>
      <c r="E21" s="11" t="s">
        <v>99</v>
      </c>
      <c r="F21" s="11" t="s">
        <v>72</v>
      </c>
      <c r="G21" s="5" t="s">
        <v>159</v>
      </c>
      <c r="H21" s="3">
        <v>19</v>
      </c>
      <c r="I21" s="11">
        <v>738</v>
      </c>
      <c r="J21" s="11">
        <v>142</v>
      </c>
      <c r="K21" s="11">
        <v>113</v>
      </c>
      <c r="L21" s="11">
        <v>99</v>
      </c>
      <c r="M21" s="11">
        <v>154</v>
      </c>
      <c r="N21" s="11">
        <v>149</v>
      </c>
      <c r="O21" s="11">
        <v>81</v>
      </c>
      <c r="P21" s="19">
        <f t="shared" si="0"/>
        <v>1.5609137055837563</v>
      </c>
      <c r="Q21" s="15">
        <f t="shared" si="1"/>
        <v>1.7038636909047278</v>
      </c>
      <c r="R21" s="15">
        <f t="shared" si="2"/>
        <v>1.3452380952380951</v>
      </c>
      <c r="S21" s="15">
        <f t="shared" si="3"/>
        <v>1.6472545757071546</v>
      </c>
      <c r="T21" s="15">
        <f t="shared" si="4"/>
        <v>1.6693766937669379</v>
      </c>
      <c r="U21" s="15">
        <f t="shared" si="5"/>
        <v>1.7799546051845658</v>
      </c>
      <c r="V21" s="20">
        <f t="shared" si="6"/>
        <v>1.1671469740634006</v>
      </c>
      <c r="W21" s="4">
        <v>1</v>
      </c>
      <c r="X21" s="5">
        <v>19</v>
      </c>
      <c r="Z21"/>
      <c r="AA21" s="24" t="s">
        <v>76</v>
      </c>
      <c r="AB21" s="11">
        <f t="shared" si="9"/>
        <v>13.697877019369026</v>
      </c>
      <c r="AC21" s="11">
        <f t="shared" si="9"/>
        <v>13.637999280316659</v>
      </c>
      <c r="AD21" s="11">
        <f t="shared" si="9"/>
        <v>12.746965008331349</v>
      </c>
      <c r="AE21" s="11">
        <f t="shared" si="9"/>
        <v>12.441783100465734</v>
      </c>
      <c r="AF21" s="11">
        <f t="shared" si="9"/>
        <v>15.121951219512194</v>
      </c>
      <c r="AG21" s="11">
        <f t="shared" si="9"/>
        <v>15.406664278036548</v>
      </c>
      <c r="AH21" s="5">
        <f t="shared" si="9"/>
        <v>12.055307503960824</v>
      </c>
    </row>
    <row r="22" spans="1:34" x14ac:dyDescent="0.3">
      <c r="A22" s="24">
        <v>20</v>
      </c>
      <c r="B22" s="11" t="s">
        <v>14</v>
      </c>
      <c r="C22" s="11" t="s">
        <v>91</v>
      </c>
      <c r="D22" s="11" t="s">
        <v>14</v>
      </c>
      <c r="E22" s="11" t="s">
        <v>91</v>
      </c>
      <c r="F22" s="11" t="s">
        <v>72</v>
      </c>
      <c r="G22" s="5" t="s">
        <v>159</v>
      </c>
      <c r="H22" s="3">
        <v>20</v>
      </c>
      <c r="I22" s="11">
        <v>665</v>
      </c>
      <c r="J22" s="11">
        <v>125</v>
      </c>
      <c r="K22" s="11">
        <v>116</v>
      </c>
      <c r="L22" s="11">
        <v>92</v>
      </c>
      <c r="M22" s="11">
        <v>134</v>
      </c>
      <c r="N22" s="11">
        <v>122</v>
      </c>
      <c r="O22" s="11">
        <v>76</v>
      </c>
      <c r="P22" s="19">
        <f t="shared" si="0"/>
        <v>1.4065143824027073</v>
      </c>
      <c r="Q22" s="15">
        <f t="shared" si="1"/>
        <v>1.4998800095992322</v>
      </c>
      <c r="R22" s="15">
        <f t="shared" si="2"/>
        <v>1.3809523809523809</v>
      </c>
      <c r="S22" s="15">
        <f t="shared" si="3"/>
        <v>1.5307820299500832</v>
      </c>
      <c r="T22" s="15">
        <f t="shared" si="4"/>
        <v>1.4525745257452574</v>
      </c>
      <c r="U22" s="15">
        <f t="shared" si="5"/>
        <v>1.4574124955202485</v>
      </c>
      <c r="V22" s="20">
        <f t="shared" si="6"/>
        <v>1.095100864553314</v>
      </c>
      <c r="W22" s="4">
        <v>1</v>
      </c>
      <c r="X22" s="5">
        <v>20</v>
      </c>
      <c r="Z22"/>
      <c r="AA22" s="24" t="s">
        <v>83</v>
      </c>
      <c r="AB22" s="11">
        <f t="shared" si="9"/>
        <v>13.368011503002622</v>
      </c>
      <c r="AC22" s="11">
        <f t="shared" si="9"/>
        <v>12.114669545400023</v>
      </c>
      <c r="AD22" s="11">
        <f t="shared" si="9"/>
        <v>11.033087360152345</v>
      </c>
      <c r="AE22" s="11">
        <f t="shared" si="9"/>
        <v>15.053226879574186</v>
      </c>
      <c r="AF22" s="11">
        <f t="shared" si="9"/>
        <v>14.861788617886178</v>
      </c>
      <c r="AG22" s="11">
        <f t="shared" si="9"/>
        <v>14.546757434611251</v>
      </c>
      <c r="AH22" s="5">
        <f t="shared" si="9"/>
        <v>12.833069278409909</v>
      </c>
    </row>
    <row r="23" spans="1:34" x14ac:dyDescent="0.3">
      <c r="A23" s="24">
        <v>21</v>
      </c>
      <c r="B23" s="11" t="s">
        <v>15</v>
      </c>
      <c r="C23" s="11" t="s">
        <v>96</v>
      </c>
      <c r="D23" s="11" t="s">
        <v>15</v>
      </c>
      <c r="E23" s="11" t="s">
        <v>96</v>
      </c>
      <c r="F23" s="11" t="s">
        <v>95</v>
      </c>
      <c r="G23" s="5" t="s">
        <v>159</v>
      </c>
      <c r="H23" s="3">
        <v>21</v>
      </c>
      <c r="I23" s="11">
        <v>616</v>
      </c>
      <c r="J23" s="11">
        <v>125</v>
      </c>
      <c r="K23" s="11">
        <v>131</v>
      </c>
      <c r="L23" s="11">
        <v>67</v>
      </c>
      <c r="M23" s="11">
        <v>95</v>
      </c>
      <c r="N23" s="11">
        <v>88</v>
      </c>
      <c r="O23" s="11">
        <v>110</v>
      </c>
      <c r="P23" s="19">
        <f t="shared" si="0"/>
        <v>1.302876480541455</v>
      </c>
      <c r="Q23" s="15">
        <f t="shared" si="1"/>
        <v>1.4998800095992322</v>
      </c>
      <c r="R23" s="15">
        <f t="shared" si="2"/>
        <v>1.5595238095238095</v>
      </c>
      <c r="S23" s="15">
        <f t="shared" si="3"/>
        <v>1.1148086522462564</v>
      </c>
      <c r="T23" s="15">
        <f t="shared" si="4"/>
        <v>1.0298102981029811</v>
      </c>
      <c r="U23" s="15">
        <f t="shared" si="5"/>
        <v>1.0512483574244416</v>
      </c>
      <c r="V23" s="20">
        <f t="shared" si="6"/>
        <v>1.5850144092219021</v>
      </c>
      <c r="W23" s="4">
        <v>6</v>
      </c>
      <c r="X23" s="5">
        <v>53</v>
      </c>
      <c r="Z23"/>
      <c r="AA23" s="24" t="s">
        <v>80</v>
      </c>
      <c r="AB23" s="11">
        <f t="shared" si="9"/>
        <v>12.380529476444218</v>
      </c>
      <c r="AC23" s="11">
        <f t="shared" si="9"/>
        <v>12.726400383831113</v>
      </c>
      <c r="AD23" s="11">
        <f t="shared" si="9"/>
        <v>13.127826707926685</v>
      </c>
      <c r="AE23" s="11">
        <f t="shared" si="9"/>
        <v>12.358616101131071</v>
      </c>
      <c r="AF23" s="11">
        <f t="shared" si="9"/>
        <v>11.24119241192412</v>
      </c>
      <c r="AG23" s="11">
        <f t="shared" si="9"/>
        <v>12.480592380269915</v>
      </c>
      <c r="AH23" s="5">
        <f t="shared" si="9"/>
        <v>12.472994382831629</v>
      </c>
    </row>
    <row r="24" spans="1:34" x14ac:dyDescent="0.3">
      <c r="A24" s="24">
        <v>22</v>
      </c>
      <c r="B24" s="11" t="s">
        <v>16</v>
      </c>
      <c r="C24" s="11" t="s">
        <v>103</v>
      </c>
      <c r="D24" s="11" t="s">
        <v>16</v>
      </c>
      <c r="E24" s="11" t="s">
        <v>103</v>
      </c>
      <c r="F24" s="11" t="s">
        <v>83</v>
      </c>
      <c r="G24" s="5" t="s">
        <v>159</v>
      </c>
      <c r="H24" s="3">
        <v>22</v>
      </c>
      <c r="I24" s="11">
        <v>613</v>
      </c>
      <c r="J24" s="11">
        <v>91</v>
      </c>
      <c r="K24" s="11">
        <v>95</v>
      </c>
      <c r="L24" s="11">
        <v>83</v>
      </c>
      <c r="M24" s="11">
        <v>117</v>
      </c>
      <c r="N24" s="11">
        <v>105</v>
      </c>
      <c r="O24" s="11">
        <v>122</v>
      </c>
      <c r="P24" s="19">
        <f t="shared" si="0"/>
        <v>1.2965313028764807</v>
      </c>
      <c r="Q24" s="15">
        <f t="shared" si="1"/>
        <v>1.091912646988241</v>
      </c>
      <c r="R24" s="15">
        <f t="shared" si="2"/>
        <v>1.1309523809523809</v>
      </c>
      <c r="S24" s="15">
        <f t="shared" si="3"/>
        <v>1.3810316139767056</v>
      </c>
      <c r="T24" s="15">
        <f t="shared" si="4"/>
        <v>1.2682926829268293</v>
      </c>
      <c r="U24" s="15">
        <f t="shared" si="5"/>
        <v>1.2543304264723449</v>
      </c>
      <c r="V24" s="20">
        <f t="shared" si="6"/>
        <v>1.7579250720461095</v>
      </c>
      <c r="W24" s="4">
        <v>3</v>
      </c>
      <c r="X24" s="5">
        <v>38</v>
      </c>
      <c r="Z24"/>
      <c r="AA24" s="24" t="s">
        <v>7</v>
      </c>
      <c r="AB24" s="11">
        <f t="shared" si="9"/>
        <v>9.9128816713186154</v>
      </c>
      <c r="AC24" s="11">
        <f t="shared" si="9"/>
        <v>10.339450641717644</v>
      </c>
      <c r="AD24" s="11">
        <f t="shared" si="9"/>
        <v>11.116400856938824</v>
      </c>
      <c r="AE24" s="11">
        <f t="shared" si="9"/>
        <v>8.3333333333333321</v>
      </c>
      <c r="AF24" s="11">
        <f t="shared" si="9"/>
        <v>9.2140921409214087</v>
      </c>
      <c r="AG24" s="11">
        <f t="shared" si="9"/>
        <v>9.172339663203152</v>
      </c>
      <c r="AH24" s="5">
        <f t="shared" si="9"/>
        <v>11.133515771280427</v>
      </c>
    </row>
    <row r="25" spans="1:34" x14ac:dyDescent="0.3">
      <c r="A25" s="24">
        <v>23</v>
      </c>
      <c r="B25" s="11" t="s">
        <v>17</v>
      </c>
      <c r="C25" s="11" t="s">
        <v>102</v>
      </c>
      <c r="D25" s="11" t="s">
        <v>17</v>
      </c>
      <c r="E25" s="11" t="s">
        <v>102</v>
      </c>
      <c r="F25" s="11" t="s">
        <v>83</v>
      </c>
      <c r="G25" s="5" t="s">
        <v>159</v>
      </c>
      <c r="H25" s="3">
        <v>23</v>
      </c>
      <c r="I25" s="11">
        <v>595</v>
      </c>
      <c r="J25" s="11">
        <v>121</v>
      </c>
      <c r="K25" s="11">
        <v>82</v>
      </c>
      <c r="L25" s="11">
        <v>94</v>
      </c>
      <c r="M25" s="11">
        <v>129</v>
      </c>
      <c r="N25" s="11">
        <v>101</v>
      </c>
      <c r="O25" s="11">
        <v>68</v>
      </c>
      <c r="P25" s="19">
        <f t="shared" si="0"/>
        <v>1.2584602368866329</v>
      </c>
      <c r="Q25" s="15">
        <f t="shared" si="1"/>
        <v>1.4518838492920567</v>
      </c>
      <c r="R25" s="15">
        <f t="shared" si="2"/>
        <v>0.97619047619047616</v>
      </c>
      <c r="S25" s="15">
        <f t="shared" si="3"/>
        <v>1.5640599001663893</v>
      </c>
      <c r="T25" s="15">
        <f t="shared" si="4"/>
        <v>1.3983739837398375</v>
      </c>
      <c r="U25" s="15">
        <f t="shared" si="5"/>
        <v>1.2065464102257795</v>
      </c>
      <c r="V25" s="20">
        <f t="shared" si="6"/>
        <v>0.97982708933717577</v>
      </c>
      <c r="W25" s="4">
        <v>3</v>
      </c>
      <c r="X25" s="5">
        <v>39</v>
      </c>
      <c r="Z25"/>
      <c r="AA25" s="24" t="s">
        <v>95</v>
      </c>
      <c r="AB25" s="11">
        <f t="shared" si="9"/>
        <v>5.4554681552905357</v>
      </c>
      <c r="AC25" s="11">
        <f t="shared" si="9"/>
        <v>5.4456039342689211</v>
      </c>
      <c r="AD25" s="11">
        <f t="shared" si="9"/>
        <v>6.665079742918353</v>
      </c>
      <c r="AE25" s="11">
        <f t="shared" si="9"/>
        <v>5.3393213572854297</v>
      </c>
      <c r="AF25" s="11">
        <f t="shared" si="9"/>
        <v>4.7588075880758804</v>
      </c>
      <c r="AG25" s="11">
        <f t="shared" si="9"/>
        <v>4.896691747282933</v>
      </c>
      <c r="AH25" s="5">
        <f t="shared" si="9"/>
        <v>5.7035863459599589</v>
      </c>
    </row>
    <row r="26" spans="1:34" x14ac:dyDescent="0.3">
      <c r="A26" s="24">
        <v>24</v>
      </c>
      <c r="B26" s="11" t="s">
        <v>18</v>
      </c>
      <c r="C26" s="11" t="s">
        <v>90</v>
      </c>
      <c r="D26" s="11" t="s">
        <v>18</v>
      </c>
      <c r="E26" s="11" t="s">
        <v>90</v>
      </c>
      <c r="F26" s="11" t="s">
        <v>7</v>
      </c>
      <c r="G26" s="5" t="s">
        <v>159</v>
      </c>
      <c r="H26" s="3">
        <v>24</v>
      </c>
      <c r="I26" s="11">
        <v>533</v>
      </c>
      <c r="J26" s="11">
        <v>109</v>
      </c>
      <c r="K26" s="11">
        <v>89</v>
      </c>
      <c r="L26" s="11">
        <v>56</v>
      </c>
      <c r="M26" s="11">
        <v>111</v>
      </c>
      <c r="N26" s="11">
        <v>87</v>
      </c>
      <c r="O26" s="11">
        <v>81</v>
      </c>
      <c r="P26" s="19">
        <f t="shared" si="0"/>
        <v>1.127326565143824</v>
      </c>
      <c r="Q26" s="15">
        <f t="shared" si="1"/>
        <v>1.3078953683705303</v>
      </c>
      <c r="R26" s="15">
        <f t="shared" si="2"/>
        <v>1.0595238095238095</v>
      </c>
      <c r="S26" s="15">
        <f t="shared" si="3"/>
        <v>0.93178036605657233</v>
      </c>
      <c r="T26" s="15">
        <f t="shared" si="4"/>
        <v>1.2032520325203253</v>
      </c>
      <c r="U26" s="15">
        <f t="shared" si="5"/>
        <v>1.0393023533628001</v>
      </c>
      <c r="V26" s="20">
        <f t="shared" si="6"/>
        <v>1.1671469740634006</v>
      </c>
      <c r="W26" s="4">
        <v>5</v>
      </c>
      <c r="X26" s="5">
        <v>51</v>
      </c>
      <c r="Z26"/>
      <c r="AA26" s="24" t="s">
        <v>92</v>
      </c>
      <c r="AB26" s="11">
        <f t="shared" si="9"/>
        <v>2.6748710141250109</v>
      </c>
      <c r="AC26" s="11">
        <f t="shared" si="9"/>
        <v>2.7827755787453521</v>
      </c>
      <c r="AD26" s="11">
        <f t="shared" si="9"/>
        <v>2.3684836943584862</v>
      </c>
      <c r="AE26" s="11">
        <f t="shared" si="9"/>
        <v>2.7445109780439121</v>
      </c>
      <c r="AF26" s="11">
        <f t="shared" si="9"/>
        <v>2.7967479674796749</v>
      </c>
      <c r="AG26" s="11">
        <f t="shared" si="9"/>
        <v>2.7588677893228235</v>
      </c>
      <c r="AH26" s="5">
        <f t="shared" si="9"/>
        <v>2.592539248163618</v>
      </c>
    </row>
    <row r="27" spans="1:34" x14ac:dyDescent="0.3">
      <c r="A27" s="24">
        <v>25</v>
      </c>
      <c r="B27" s="11" t="s">
        <v>19</v>
      </c>
      <c r="C27" s="11" t="s">
        <v>104</v>
      </c>
      <c r="D27" s="11" t="s">
        <v>19</v>
      </c>
      <c r="E27" s="11" t="s">
        <v>104</v>
      </c>
      <c r="F27" s="11" t="s">
        <v>76</v>
      </c>
      <c r="G27" s="5" t="s">
        <v>159</v>
      </c>
      <c r="H27" s="3">
        <v>25</v>
      </c>
      <c r="I27" s="11">
        <v>498</v>
      </c>
      <c r="J27" s="11">
        <v>90</v>
      </c>
      <c r="K27" s="11">
        <v>78</v>
      </c>
      <c r="L27" s="11">
        <v>65</v>
      </c>
      <c r="M27" s="11">
        <v>104</v>
      </c>
      <c r="N27" s="11">
        <v>99</v>
      </c>
      <c r="O27" s="11">
        <v>62</v>
      </c>
      <c r="P27" s="19">
        <f t="shared" si="0"/>
        <v>1.0532994923857868</v>
      </c>
      <c r="Q27" s="15">
        <f t="shared" si="1"/>
        <v>1.079913606911447</v>
      </c>
      <c r="R27" s="15">
        <f t="shared" si="2"/>
        <v>0.9285714285714286</v>
      </c>
      <c r="S27" s="15">
        <f t="shared" si="3"/>
        <v>1.0815307820299502</v>
      </c>
      <c r="T27" s="15">
        <f t="shared" si="4"/>
        <v>1.127371273712737</v>
      </c>
      <c r="U27" s="15">
        <f t="shared" si="5"/>
        <v>1.1826544021024967</v>
      </c>
      <c r="V27" s="20">
        <f t="shared" si="6"/>
        <v>0.89337175792507206</v>
      </c>
      <c r="W27" s="4">
        <v>2</v>
      </c>
      <c r="X27" s="5">
        <v>35</v>
      </c>
      <c r="AA27" s="24" t="s">
        <v>21</v>
      </c>
      <c r="AB27" s="11">
        <f t="shared" si="9"/>
        <v>0.97690941385435182</v>
      </c>
      <c r="AC27" s="11">
        <f t="shared" si="9"/>
        <v>0.98356723041861571</v>
      </c>
      <c r="AD27" s="11">
        <f t="shared" si="9"/>
        <v>1.0235658176624614</v>
      </c>
      <c r="AE27" s="11">
        <f t="shared" si="9"/>
        <v>1.1643379906852962</v>
      </c>
      <c r="AF27" s="11">
        <f t="shared" si="9"/>
        <v>0.85636856368563696</v>
      </c>
      <c r="AG27" s="11">
        <f t="shared" si="9"/>
        <v>0.93156574704407014</v>
      </c>
      <c r="AH27" s="5">
        <f t="shared" si="9"/>
        <v>0.9650007201497911</v>
      </c>
    </row>
    <row r="28" spans="1:34" x14ac:dyDescent="0.3">
      <c r="A28" s="24">
        <v>26</v>
      </c>
      <c r="B28" s="11" t="s">
        <v>45</v>
      </c>
      <c r="C28" s="11" t="s">
        <v>144</v>
      </c>
      <c r="D28" s="11" t="s">
        <v>45</v>
      </c>
      <c r="E28" s="11" t="s">
        <v>144</v>
      </c>
      <c r="F28" s="11" t="s">
        <v>80</v>
      </c>
      <c r="G28" s="5" t="s">
        <v>159</v>
      </c>
      <c r="H28" s="3">
        <v>26</v>
      </c>
      <c r="I28" s="11">
        <v>492</v>
      </c>
      <c r="J28" s="11">
        <v>74</v>
      </c>
      <c r="K28" s="11">
        <v>91</v>
      </c>
      <c r="L28" s="11">
        <v>100</v>
      </c>
      <c r="M28" s="11">
        <v>77</v>
      </c>
      <c r="N28" s="11">
        <v>88</v>
      </c>
      <c r="O28" s="11">
        <v>62</v>
      </c>
      <c r="P28" s="19">
        <f t="shared" si="0"/>
        <v>1.0406091370558375</v>
      </c>
      <c r="Q28" s="15">
        <f t="shared" si="1"/>
        <v>0.88792896568274537</v>
      </c>
      <c r="R28" s="15">
        <f t="shared" si="2"/>
        <v>1.0833333333333335</v>
      </c>
      <c r="S28" s="15">
        <f t="shared" si="3"/>
        <v>1.6638935108153077</v>
      </c>
      <c r="T28" s="15">
        <f t="shared" si="4"/>
        <v>0.83468834688346893</v>
      </c>
      <c r="U28" s="15">
        <f t="shared" si="5"/>
        <v>1.0512483574244416</v>
      </c>
      <c r="V28" s="20">
        <f t="shared" si="6"/>
        <v>0.89337175792507206</v>
      </c>
      <c r="W28" s="4">
        <v>4</v>
      </c>
      <c r="X28" s="5">
        <v>48</v>
      </c>
      <c r="Z28"/>
      <c r="AA28" s="24" t="s">
        <v>34</v>
      </c>
      <c r="AB28" s="11">
        <f t="shared" si="9"/>
        <v>0.40175928275395417</v>
      </c>
      <c r="AC28" s="11">
        <f t="shared" si="9"/>
        <v>0.46779417056495143</v>
      </c>
      <c r="AD28" s="11">
        <f t="shared" si="9"/>
        <v>0.46417519638181387</v>
      </c>
      <c r="AE28" s="11">
        <f t="shared" si="9"/>
        <v>0.28276779773785765</v>
      </c>
      <c r="AF28" s="11">
        <f t="shared" si="9"/>
        <v>0.26016260162601623</v>
      </c>
      <c r="AG28" s="11">
        <f t="shared" si="9"/>
        <v>0.32246506628448585</v>
      </c>
      <c r="AH28" s="5">
        <f t="shared" si="9"/>
        <v>0.6337318162177733</v>
      </c>
    </row>
    <row r="29" spans="1:34" x14ac:dyDescent="0.3">
      <c r="A29" s="24">
        <v>27</v>
      </c>
      <c r="B29" s="11" t="s">
        <v>20</v>
      </c>
      <c r="C29" s="11" t="s">
        <v>111</v>
      </c>
      <c r="D29" s="11" t="s">
        <v>20</v>
      </c>
      <c r="E29" s="11" t="s">
        <v>111</v>
      </c>
      <c r="F29" s="11" t="s">
        <v>72</v>
      </c>
      <c r="G29" s="5" t="s">
        <v>159</v>
      </c>
      <c r="H29" s="3">
        <v>27</v>
      </c>
      <c r="I29" s="11">
        <v>466</v>
      </c>
      <c r="J29" s="11">
        <v>81</v>
      </c>
      <c r="K29" s="11">
        <v>72</v>
      </c>
      <c r="L29" s="11">
        <v>73</v>
      </c>
      <c r="M29" s="11">
        <v>86</v>
      </c>
      <c r="N29" s="11">
        <v>90</v>
      </c>
      <c r="O29" s="11">
        <v>64</v>
      </c>
      <c r="P29" s="19">
        <f t="shared" si="0"/>
        <v>0.98561759729272425</v>
      </c>
      <c r="Q29" s="15">
        <f t="shared" si="1"/>
        <v>0.97192224622030232</v>
      </c>
      <c r="R29" s="15">
        <f t="shared" si="2"/>
        <v>0.85714285714285721</v>
      </c>
      <c r="S29" s="15">
        <f t="shared" si="3"/>
        <v>1.2146422628951747</v>
      </c>
      <c r="T29" s="15">
        <f t="shared" si="4"/>
        <v>0.9322493224932249</v>
      </c>
      <c r="U29" s="15">
        <f t="shared" si="5"/>
        <v>1.0751403655477243</v>
      </c>
      <c r="V29" s="20">
        <f t="shared" si="6"/>
        <v>0.92219020172910671</v>
      </c>
      <c r="W29" s="4">
        <v>1</v>
      </c>
      <c r="X29" s="5">
        <v>21</v>
      </c>
      <c r="Z29"/>
      <c r="AA29" s="24" t="s">
        <v>35</v>
      </c>
      <c r="AB29" s="11">
        <f t="shared" si="9"/>
        <v>0.31083481349911191</v>
      </c>
      <c r="AC29" s="11">
        <f t="shared" si="9"/>
        <v>0.26388389108792132</v>
      </c>
      <c r="AD29" s="11">
        <f t="shared" si="9"/>
        <v>0.29754820280885502</v>
      </c>
      <c r="AE29" s="11">
        <f t="shared" si="9"/>
        <v>0.38256819693945443</v>
      </c>
      <c r="AF29" s="11">
        <f t="shared" si="9"/>
        <v>0.28184281842818426</v>
      </c>
      <c r="AG29" s="11">
        <f t="shared" si="9"/>
        <v>0.39412396990326043</v>
      </c>
      <c r="AH29" s="5">
        <f t="shared" si="9"/>
        <v>0.25925392481636184</v>
      </c>
    </row>
    <row r="30" spans="1:34" ht="15" thickBot="1" x14ac:dyDescent="0.35">
      <c r="A30" s="24">
        <v>28</v>
      </c>
      <c r="B30" s="11" t="s">
        <v>21</v>
      </c>
      <c r="C30" s="11" t="s">
        <v>106</v>
      </c>
      <c r="D30" s="11" t="s">
        <v>21</v>
      </c>
      <c r="E30" s="11" t="s">
        <v>106</v>
      </c>
      <c r="F30" s="11" t="s">
        <v>21</v>
      </c>
      <c r="G30" s="5" t="s">
        <v>159</v>
      </c>
      <c r="H30" s="3">
        <v>28</v>
      </c>
      <c r="I30" s="11">
        <v>462</v>
      </c>
      <c r="J30" s="11">
        <v>82</v>
      </c>
      <c r="K30" s="11">
        <v>86</v>
      </c>
      <c r="L30" s="11">
        <v>70</v>
      </c>
      <c r="M30" s="11">
        <v>79</v>
      </c>
      <c r="N30" s="11">
        <v>78</v>
      </c>
      <c r="O30" s="11">
        <v>67</v>
      </c>
      <c r="P30" s="19">
        <f t="shared" si="0"/>
        <v>0.97715736040609147</v>
      </c>
      <c r="Q30" s="15">
        <f t="shared" si="1"/>
        <v>0.98392128629709619</v>
      </c>
      <c r="R30" s="15">
        <f t="shared" si="2"/>
        <v>1.0238095238095239</v>
      </c>
      <c r="S30" s="15">
        <f t="shared" si="3"/>
        <v>1.1647254575707155</v>
      </c>
      <c r="T30" s="15">
        <f t="shared" si="4"/>
        <v>0.85636856368563696</v>
      </c>
      <c r="U30" s="15">
        <f t="shared" si="5"/>
        <v>0.93178831680802776</v>
      </c>
      <c r="V30" s="20">
        <f t="shared" si="6"/>
        <v>0.96541786743515845</v>
      </c>
      <c r="W30" s="4">
        <v>8</v>
      </c>
      <c r="X30" s="5">
        <v>68</v>
      </c>
      <c r="Z30"/>
      <c r="AA30" s="25" t="s">
        <v>47</v>
      </c>
      <c r="AB30" s="12">
        <f t="shared" si="9"/>
        <v>0.10572612704051426</v>
      </c>
      <c r="AC30" s="12">
        <f t="shared" si="9"/>
        <v>9.5957778577425934E-2</v>
      </c>
      <c r="AD30" s="12">
        <f t="shared" si="9"/>
        <v>0.14282313734825042</v>
      </c>
      <c r="AE30" s="12">
        <f t="shared" si="9"/>
        <v>6.65335994677312E-2</v>
      </c>
      <c r="AF30" s="12">
        <f t="shared" si="9"/>
        <v>8.6720867208672087E-2</v>
      </c>
      <c r="AG30" s="12">
        <f t="shared" si="9"/>
        <v>9.5545204825032842E-2</v>
      </c>
      <c r="AH30" s="13">
        <f t="shared" si="9"/>
        <v>0.14402995823131209</v>
      </c>
    </row>
    <row r="31" spans="1:34" x14ac:dyDescent="0.3">
      <c r="A31" s="24">
        <v>29</v>
      </c>
      <c r="B31" s="11" t="s">
        <v>22</v>
      </c>
      <c r="C31" s="11" t="s">
        <v>114</v>
      </c>
      <c r="D31" s="11" t="s">
        <v>22</v>
      </c>
      <c r="E31" s="11" t="s">
        <v>114</v>
      </c>
      <c r="F31" s="11" t="s">
        <v>95</v>
      </c>
      <c r="G31" s="5" t="s">
        <v>159</v>
      </c>
      <c r="H31" s="3">
        <v>29</v>
      </c>
      <c r="I31" s="11">
        <v>454</v>
      </c>
      <c r="J31" s="11">
        <v>63</v>
      </c>
      <c r="K31" s="11">
        <v>100</v>
      </c>
      <c r="L31" s="11">
        <v>57</v>
      </c>
      <c r="M31" s="11">
        <v>78</v>
      </c>
      <c r="N31" s="11">
        <v>77</v>
      </c>
      <c r="O31" s="11">
        <v>79</v>
      </c>
      <c r="P31" s="19">
        <f t="shared" si="0"/>
        <v>0.96023688663282569</v>
      </c>
      <c r="Q31" s="15">
        <f t="shared" si="1"/>
        <v>0.75593952483801297</v>
      </c>
      <c r="R31" s="15">
        <f t="shared" si="2"/>
        <v>1.1904761904761905</v>
      </c>
      <c r="S31" s="15">
        <f t="shared" si="3"/>
        <v>0.9484193011647255</v>
      </c>
      <c r="T31" s="15">
        <f t="shared" si="4"/>
        <v>0.84552845528455289</v>
      </c>
      <c r="U31" s="15">
        <f t="shared" si="5"/>
        <v>0.91984231274638628</v>
      </c>
      <c r="V31" s="20">
        <f t="shared" si="6"/>
        <v>1.138328530259366</v>
      </c>
      <c r="W31" s="4">
        <v>6</v>
      </c>
      <c r="X31" s="5">
        <v>54</v>
      </c>
      <c r="Z31"/>
      <c r="AA31"/>
      <c r="AB31"/>
      <c r="AC31"/>
      <c r="AD31"/>
    </row>
    <row r="32" spans="1:34" x14ac:dyDescent="0.3">
      <c r="A32" s="24">
        <v>30</v>
      </c>
      <c r="B32" s="11" t="s">
        <v>23</v>
      </c>
      <c r="C32" s="11" t="s">
        <v>107</v>
      </c>
      <c r="D32" s="11" t="s">
        <v>23</v>
      </c>
      <c r="E32" s="11" t="s">
        <v>107</v>
      </c>
      <c r="F32" s="11" t="s">
        <v>72</v>
      </c>
      <c r="G32" s="5" t="s">
        <v>159</v>
      </c>
      <c r="H32" s="3">
        <v>30</v>
      </c>
      <c r="I32" s="11">
        <v>453</v>
      </c>
      <c r="J32" s="11">
        <v>79</v>
      </c>
      <c r="K32" s="11">
        <v>57</v>
      </c>
      <c r="L32" s="11">
        <v>71</v>
      </c>
      <c r="M32" s="11">
        <v>96</v>
      </c>
      <c r="N32" s="11">
        <v>79</v>
      </c>
      <c r="O32" s="11">
        <v>71</v>
      </c>
      <c r="P32" s="19">
        <f t="shared" si="0"/>
        <v>0.95812182741116747</v>
      </c>
      <c r="Q32" s="15">
        <f t="shared" si="1"/>
        <v>0.9479241660667147</v>
      </c>
      <c r="R32" s="15">
        <f t="shared" si="2"/>
        <v>0.6785714285714286</v>
      </c>
      <c r="S32" s="15">
        <f t="shared" si="3"/>
        <v>1.1813643926788686</v>
      </c>
      <c r="T32" s="15">
        <f t="shared" si="4"/>
        <v>1.0406504065040649</v>
      </c>
      <c r="U32" s="15">
        <f t="shared" si="5"/>
        <v>0.94373432086966913</v>
      </c>
      <c r="V32" s="20">
        <f t="shared" si="6"/>
        <v>1.0230547550432278</v>
      </c>
      <c r="W32" s="4">
        <v>1</v>
      </c>
      <c r="X32" s="5">
        <v>22</v>
      </c>
      <c r="Z32"/>
      <c r="AA32" s="2" t="s">
        <v>162</v>
      </c>
      <c r="AB32" s="2">
        <f>SUM(AB19:AB30)</f>
        <v>100.00000000000001</v>
      </c>
      <c r="AC32" s="2">
        <f t="shared" ref="AC32:AH32" si="10">SUM(AC19:AC30)</f>
        <v>99.999999999999986</v>
      </c>
      <c r="AD32" s="2">
        <f t="shared" si="10"/>
        <v>100</v>
      </c>
      <c r="AE32" s="2">
        <f t="shared" si="10"/>
        <v>100</v>
      </c>
      <c r="AF32" s="2">
        <f t="shared" si="10"/>
        <v>100</v>
      </c>
      <c r="AG32" s="2">
        <f t="shared" si="10"/>
        <v>99.999999999999986</v>
      </c>
      <c r="AH32" s="2">
        <f t="shared" si="10"/>
        <v>100</v>
      </c>
    </row>
    <row r="33" spans="1:30" x14ac:dyDescent="0.3">
      <c r="A33" s="24">
        <v>31</v>
      </c>
      <c r="B33" s="11" t="s">
        <v>55</v>
      </c>
      <c r="C33" s="11" t="s">
        <v>112</v>
      </c>
      <c r="D33" s="11" t="s">
        <v>55</v>
      </c>
      <c r="E33" s="11" t="s">
        <v>112</v>
      </c>
      <c r="F33" s="11" t="s">
        <v>74</v>
      </c>
      <c r="G33" s="5" t="s">
        <v>159</v>
      </c>
      <c r="H33" s="3">
        <v>31</v>
      </c>
      <c r="I33" s="11">
        <v>451</v>
      </c>
      <c r="J33" s="11">
        <v>81</v>
      </c>
      <c r="K33" s="11">
        <v>124</v>
      </c>
      <c r="L33" s="11">
        <v>53</v>
      </c>
      <c r="M33" s="11">
        <v>82</v>
      </c>
      <c r="N33" s="11">
        <v>57</v>
      </c>
      <c r="O33" s="11">
        <v>54</v>
      </c>
      <c r="P33" s="19">
        <f t="shared" si="0"/>
        <v>0.95389170896785103</v>
      </c>
      <c r="Q33" s="15">
        <f t="shared" si="1"/>
        <v>0.97192224622030232</v>
      </c>
      <c r="R33" s="15">
        <f t="shared" si="2"/>
        <v>1.4761904761904763</v>
      </c>
      <c r="S33" s="15">
        <f t="shared" si="3"/>
        <v>0.88186356073211314</v>
      </c>
      <c r="T33" s="15">
        <f t="shared" si="4"/>
        <v>0.88888888888888884</v>
      </c>
      <c r="U33" s="15">
        <f t="shared" si="5"/>
        <v>0.68092223151355868</v>
      </c>
      <c r="V33" s="20">
        <f t="shared" si="6"/>
        <v>0.77809798270893371</v>
      </c>
      <c r="W33" s="4">
        <v>0</v>
      </c>
      <c r="X33" s="5">
        <v>4</v>
      </c>
      <c r="Z33"/>
      <c r="AA33"/>
      <c r="AB33"/>
      <c r="AC33"/>
      <c r="AD33"/>
    </row>
    <row r="34" spans="1:30" x14ac:dyDescent="0.3">
      <c r="A34" s="24">
        <v>32</v>
      </c>
      <c r="B34" s="11" t="s">
        <v>24</v>
      </c>
      <c r="C34" s="11" t="s">
        <v>105</v>
      </c>
      <c r="D34" s="11" t="s">
        <v>24</v>
      </c>
      <c r="E34" s="11" t="s">
        <v>105</v>
      </c>
      <c r="F34" s="11" t="s">
        <v>83</v>
      </c>
      <c r="G34" s="5" t="s">
        <v>159</v>
      </c>
      <c r="H34" s="3">
        <v>32</v>
      </c>
      <c r="I34" s="11">
        <v>425</v>
      </c>
      <c r="J34" s="11">
        <v>68</v>
      </c>
      <c r="K34" s="11">
        <v>41</v>
      </c>
      <c r="L34" s="11">
        <v>68</v>
      </c>
      <c r="M34" s="11">
        <v>109</v>
      </c>
      <c r="N34" s="11">
        <v>111</v>
      </c>
      <c r="O34" s="11">
        <v>28</v>
      </c>
      <c r="P34" s="19">
        <f t="shared" ref="P34:P65" si="11">I34/I$76*100</f>
        <v>0.89890016920473781</v>
      </c>
      <c r="Q34" s="15">
        <f t="shared" ref="Q34:Q65" si="12">J34/J$76*100</f>
        <v>0.81593472522198218</v>
      </c>
      <c r="R34" s="15">
        <f t="shared" ref="R34:R65" si="13">K34/K$76*100</f>
        <v>0.48809523809523808</v>
      </c>
      <c r="S34" s="15">
        <f t="shared" ref="S34:S65" si="14">L34/L$76*100</f>
        <v>1.1314475873544094</v>
      </c>
      <c r="T34" s="15">
        <f t="shared" ref="T34:T65" si="15">M34/M$76*100</f>
        <v>1.1815718157181572</v>
      </c>
      <c r="U34" s="15">
        <f t="shared" ref="U34:U65" si="16">N34/N$76*100</f>
        <v>1.3260064508421934</v>
      </c>
      <c r="V34" s="20">
        <f t="shared" ref="V34:V65" si="17">O34/O$76*100</f>
        <v>0.40345821325648412</v>
      </c>
      <c r="W34" s="4">
        <v>3</v>
      </c>
      <c r="X34" s="5">
        <v>40</v>
      </c>
      <c r="Z34"/>
      <c r="AA34"/>
      <c r="AB34"/>
      <c r="AC34"/>
      <c r="AD34"/>
    </row>
    <row r="35" spans="1:30" x14ac:dyDescent="0.3">
      <c r="A35" s="24">
        <v>33</v>
      </c>
      <c r="B35" s="11" t="s">
        <v>145</v>
      </c>
      <c r="C35" s="11" t="s">
        <v>110</v>
      </c>
      <c r="D35" s="11" t="s">
        <v>145</v>
      </c>
      <c r="E35" s="11" t="s">
        <v>110</v>
      </c>
      <c r="F35" s="11" t="s">
        <v>92</v>
      </c>
      <c r="G35" s="5" t="s">
        <v>159</v>
      </c>
      <c r="H35" s="3">
        <v>33</v>
      </c>
      <c r="I35" s="11">
        <v>421</v>
      </c>
      <c r="J35" s="11">
        <v>88</v>
      </c>
      <c r="K35" s="11">
        <v>66</v>
      </c>
      <c r="L35" s="11">
        <v>49</v>
      </c>
      <c r="M35" s="11">
        <v>85</v>
      </c>
      <c r="N35" s="11">
        <v>80</v>
      </c>
      <c r="O35" s="11">
        <v>53</v>
      </c>
      <c r="P35" s="19">
        <f t="shared" si="11"/>
        <v>0.89043993231810481</v>
      </c>
      <c r="Q35" s="15">
        <f t="shared" si="12"/>
        <v>1.0559155267578593</v>
      </c>
      <c r="R35" s="15">
        <f t="shared" si="13"/>
        <v>0.78571428571428581</v>
      </c>
      <c r="S35" s="15">
        <f t="shared" si="14"/>
        <v>0.81530782029950088</v>
      </c>
      <c r="T35" s="15">
        <f t="shared" si="15"/>
        <v>0.92140921409214105</v>
      </c>
      <c r="U35" s="15">
        <f t="shared" si="16"/>
        <v>0.95568032493131039</v>
      </c>
      <c r="V35" s="20">
        <f t="shared" si="17"/>
        <v>0.7636887608069165</v>
      </c>
      <c r="W35" s="4">
        <v>7</v>
      </c>
      <c r="X35" s="5">
        <v>67</v>
      </c>
      <c r="Z35"/>
      <c r="AA35"/>
      <c r="AB35"/>
      <c r="AC35"/>
      <c r="AD35"/>
    </row>
    <row r="36" spans="1:30" x14ac:dyDescent="0.3">
      <c r="A36" s="24">
        <v>34</v>
      </c>
      <c r="B36" s="11" t="s">
        <v>25</v>
      </c>
      <c r="C36" s="11" t="s">
        <v>109</v>
      </c>
      <c r="D36" s="11" t="s">
        <v>25</v>
      </c>
      <c r="E36" s="11" t="s">
        <v>109</v>
      </c>
      <c r="F36" s="11" t="s">
        <v>83</v>
      </c>
      <c r="G36" s="5" t="s">
        <v>159</v>
      </c>
      <c r="H36" s="3">
        <v>34</v>
      </c>
      <c r="I36" s="11">
        <v>393</v>
      </c>
      <c r="J36" s="11">
        <v>49</v>
      </c>
      <c r="K36" s="11">
        <v>58</v>
      </c>
      <c r="L36" s="11">
        <v>51</v>
      </c>
      <c r="M36" s="11">
        <v>101</v>
      </c>
      <c r="N36" s="11">
        <v>89</v>
      </c>
      <c r="O36" s="11">
        <v>45</v>
      </c>
      <c r="P36" s="19">
        <f t="shared" si="11"/>
        <v>0.83121827411167504</v>
      </c>
      <c r="Q36" s="15">
        <f t="shared" si="12"/>
        <v>0.58795296376289896</v>
      </c>
      <c r="R36" s="15">
        <f t="shared" si="13"/>
        <v>0.69047619047619047</v>
      </c>
      <c r="S36" s="15">
        <f t="shared" si="14"/>
        <v>0.84858569051580701</v>
      </c>
      <c r="T36" s="15">
        <f t="shared" si="15"/>
        <v>1.0948509485094853</v>
      </c>
      <c r="U36" s="15">
        <f t="shared" si="16"/>
        <v>1.0631943614860828</v>
      </c>
      <c r="V36" s="20">
        <f t="shared" si="17"/>
        <v>0.64841498559077815</v>
      </c>
      <c r="W36" s="4">
        <v>3</v>
      </c>
      <c r="X36" s="5">
        <v>41</v>
      </c>
      <c r="Z36"/>
      <c r="AA36"/>
      <c r="AB36"/>
      <c r="AC36"/>
      <c r="AD36"/>
    </row>
    <row r="37" spans="1:30" x14ac:dyDescent="0.3">
      <c r="A37" s="24">
        <v>35</v>
      </c>
      <c r="B37" s="11" t="s">
        <v>26</v>
      </c>
      <c r="C37" s="11" t="s">
        <v>115</v>
      </c>
      <c r="D37" s="11" t="s">
        <v>26</v>
      </c>
      <c r="E37" s="11" t="s">
        <v>115</v>
      </c>
      <c r="F37" s="11" t="s">
        <v>72</v>
      </c>
      <c r="G37" s="5" t="s">
        <v>159</v>
      </c>
      <c r="H37" s="3">
        <v>35</v>
      </c>
      <c r="I37" s="11">
        <v>374</v>
      </c>
      <c r="J37" s="11">
        <v>74</v>
      </c>
      <c r="K37" s="11">
        <v>49</v>
      </c>
      <c r="L37" s="11">
        <v>46</v>
      </c>
      <c r="M37" s="11">
        <v>88</v>
      </c>
      <c r="N37" s="11">
        <v>82</v>
      </c>
      <c r="O37" s="11">
        <v>35</v>
      </c>
      <c r="P37" s="19">
        <f t="shared" si="11"/>
        <v>0.79103214890016915</v>
      </c>
      <c r="Q37" s="15">
        <f t="shared" si="12"/>
        <v>0.88792896568274537</v>
      </c>
      <c r="R37" s="15">
        <f t="shared" si="13"/>
        <v>0.58333333333333337</v>
      </c>
      <c r="S37" s="15">
        <f t="shared" si="14"/>
        <v>0.76539101497504158</v>
      </c>
      <c r="T37" s="15">
        <f t="shared" si="15"/>
        <v>0.95392953929539293</v>
      </c>
      <c r="U37" s="15">
        <f t="shared" si="16"/>
        <v>0.97957233305459324</v>
      </c>
      <c r="V37" s="20">
        <f t="shared" si="17"/>
        <v>0.50432276657060515</v>
      </c>
      <c r="W37" s="4">
        <v>1</v>
      </c>
      <c r="X37" s="5">
        <v>23</v>
      </c>
      <c r="Z37"/>
      <c r="AB37"/>
      <c r="AC37"/>
      <c r="AD37"/>
    </row>
    <row r="38" spans="1:30" x14ac:dyDescent="0.3">
      <c r="A38" s="24">
        <v>36</v>
      </c>
      <c r="B38" s="11" t="s">
        <v>48</v>
      </c>
      <c r="C38" s="11" t="s">
        <v>132</v>
      </c>
      <c r="D38" s="11" t="s">
        <v>48</v>
      </c>
      <c r="E38" s="11" t="s">
        <v>132</v>
      </c>
      <c r="F38" s="11" t="s">
        <v>95</v>
      </c>
      <c r="G38" s="5" t="s">
        <v>159</v>
      </c>
      <c r="H38" s="3">
        <v>36</v>
      </c>
      <c r="I38" s="11">
        <v>360</v>
      </c>
      <c r="J38" s="11">
        <v>52</v>
      </c>
      <c r="K38" s="11">
        <v>94</v>
      </c>
      <c r="L38" s="11">
        <v>46</v>
      </c>
      <c r="M38" s="11">
        <v>49</v>
      </c>
      <c r="N38" s="11">
        <v>57</v>
      </c>
      <c r="O38" s="11">
        <v>62</v>
      </c>
      <c r="P38" s="19">
        <f t="shared" si="11"/>
        <v>0.76142131979695438</v>
      </c>
      <c r="Q38" s="15">
        <f t="shared" si="12"/>
        <v>0.62395008399328045</v>
      </c>
      <c r="R38" s="15">
        <f t="shared" si="13"/>
        <v>1.1190476190476191</v>
      </c>
      <c r="S38" s="15">
        <f t="shared" si="14"/>
        <v>0.76539101497504158</v>
      </c>
      <c r="T38" s="15">
        <f t="shared" si="15"/>
        <v>0.53116531165311653</v>
      </c>
      <c r="U38" s="15">
        <f t="shared" si="16"/>
        <v>0.68092223151355868</v>
      </c>
      <c r="V38" s="20">
        <f t="shared" si="17"/>
        <v>0.89337175792507206</v>
      </c>
      <c r="W38" s="4">
        <v>6</v>
      </c>
      <c r="X38" s="5">
        <v>55</v>
      </c>
      <c r="Z38"/>
      <c r="AB38"/>
      <c r="AC38"/>
      <c r="AD38"/>
    </row>
    <row r="39" spans="1:30" x14ac:dyDescent="0.3">
      <c r="A39" s="24">
        <v>37</v>
      </c>
      <c r="B39" s="11" t="s">
        <v>27</v>
      </c>
      <c r="C39" s="11" t="s">
        <v>101</v>
      </c>
      <c r="D39" s="11" t="s">
        <v>27</v>
      </c>
      <c r="E39" s="11" t="s">
        <v>101</v>
      </c>
      <c r="F39" s="11" t="s">
        <v>72</v>
      </c>
      <c r="G39" s="5" t="s">
        <v>159</v>
      </c>
      <c r="H39" s="3">
        <v>37</v>
      </c>
      <c r="I39" s="11">
        <v>353</v>
      </c>
      <c r="J39" s="11">
        <v>50</v>
      </c>
      <c r="K39" s="11">
        <v>52</v>
      </c>
      <c r="L39" s="11">
        <v>55</v>
      </c>
      <c r="M39" s="11">
        <v>71</v>
      </c>
      <c r="N39" s="11">
        <v>70</v>
      </c>
      <c r="O39" s="11">
        <v>55</v>
      </c>
      <c r="P39" s="19">
        <f t="shared" si="11"/>
        <v>0.74661590524534682</v>
      </c>
      <c r="Q39" s="15">
        <f t="shared" si="12"/>
        <v>0.59995200383969283</v>
      </c>
      <c r="R39" s="15">
        <f t="shared" si="13"/>
        <v>0.61904761904761907</v>
      </c>
      <c r="S39" s="15">
        <f t="shared" si="14"/>
        <v>0.91514143094841938</v>
      </c>
      <c r="T39" s="15">
        <f t="shared" si="15"/>
        <v>0.76964769647696474</v>
      </c>
      <c r="U39" s="15">
        <f t="shared" si="16"/>
        <v>0.8362202843148967</v>
      </c>
      <c r="V39" s="20">
        <f t="shared" si="17"/>
        <v>0.79250720461095103</v>
      </c>
      <c r="W39" s="4">
        <v>1</v>
      </c>
      <c r="X39" s="5">
        <v>24</v>
      </c>
      <c r="Z39"/>
      <c r="AB39"/>
      <c r="AC39"/>
      <c r="AD39"/>
    </row>
    <row r="40" spans="1:30" x14ac:dyDescent="0.3">
      <c r="A40" s="24">
        <v>38</v>
      </c>
      <c r="B40" s="11" t="s">
        <v>57</v>
      </c>
      <c r="C40" s="11" t="s">
        <v>137</v>
      </c>
      <c r="D40" s="11" t="s">
        <v>74</v>
      </c>
      <c r="E40" s="11" t="s">
        <v>75</v>
      </c>
      <c r="F40" s="11" t="s">
        <v>74</v>
      </c>
      <c r="G40" s="5" t="s">
        <v>159</v>
      </c>
      <c r="H40" s="3">
        <v>38</v>
      </c>
      <c r="I40" s="11">
        <v>320</v>
      </c>
      <c r="J40" s="11">
        <v>47</v>
      </c>
      <c r="K40" s="11">
        <v>60</v>
      </c>
      <c r="L40" s="11">
        <v>54</v>
      </c>
      <c r="M40" s="11">
        <v>64</v>
      </c>
      <c r="N40" s="11">
        <v>59</v>
      </c>
      <c r="O40" s="11">
        <v>36</v>
      </c>
      <c r="P40" s="19">
        <f t="shared" si="11"/>
        <v>0.67681895093062605</v>
      </c>
      <c r="Q40" s="15">
        <f t="shared" si="12"/>
        <v>0.56395488360931123</v>
      </c>
      <c r="R40" s="15">
        <f t="shared" si="13"/>
        <v>0.7142857142857143</v>
      </c>
      <c r="S40" s="15">
        <f t="shared" si="14"/>
        <v>0.8985024958402662</v>
      </c>
      <c r="T40" s="15">
        <f t="shared" si="15"/>
        <v>0.69376693766937669</v>
      </c>
      <c r="U40" s="15">
        <f t="shared" si="16"/>
        <v>0.70481423963684153</v>
      </c>
      <c r="V40" s="20">
        <f t="shared" si="17"/>
        <v>0.51873198847262247</v>
      </c>
      <c r="W40" s="4">
        <v>0</v>
      </c>
      <c r="X40" s="5">
        <v>5</v>
      </c>
      <c r="Z40"/>
      <c r="AB40"/>
      <c r="AC40"/>
      <c r="AD40"/>
    </row>
    <row r="41" spans="1:30" x14ac:dyDescent="0.3">
      <c r="A41" s="24">
        <v>39</v>
      </c>
      <c r="B41" s="11" t="s">
        <v>68</v>
      </c>
      <c r="C41" s="11" t="s">
        <v>138</v>
      </c>
      <c r="D41" s="11" t="s">
        <v>74</v>
      </c>
      <c r="E41" s="11" t="s">
        <v>75</v>
      </c>
      <c r="F41" s="11" t="s">
        <v>74</v>
      </c>
      <c r="G41" s="5" t="s">
        <v>159</v>
      </c>
      <c r="H41" s="3">
        <v>39</v>
      </c>
      <c r="I41" s="11">
        <v>275</v>
      </c>
      <c r="J41" s="11">
        <v>64</v>
      </c>
      <c r="K41" s="11">
        <v>42</v>
      </c>
      <c r="L41" s="11">
        <v>41</v>
      </c>
      <c r="M41" s="11">
        <v>29</v>
      </c>
      <c r="N41" s="11">
        <v>61</v>
      </c>
      <c r="O41" s="11">
        <v>38</v>
      </c>
      <c r="P41" s="19">
        <f t="shared" si="11"/>
        <v>0.58164128595600684</v>
      </c>
      <c r="Q41" s="15">
        <f t="shared" si="12"/>
        <v>0.76793856491480683</v>
      </c>
      <c r="R41" s="15">
        <f t="shared" si="13"/>
        <v>0.5</v>
      </c>
      <c r="S41" s="15">
        <f t="shared" si="14"/>
        <v>0.68219633943427616</v>
      </c>
      <c r="T41" s="15">
        <f t="shared" si="15"/>
        <v>0.3143631436314363</v>
      </c>
      <c r="U41" s="15">
        <f t="shared" si="16"/>
        <v>0.72870624776012427</v>
      </c>
      <c r="V41" s="20">
        <f t="shared" si="17"/>
        <v>0.54755043227665701</v>
      </c>
      <c r="W41" s="4">
        <v>0</v>
      </c>
      <c r="X41" s="5">
        <v>6</v>
      </c>
      <c r="Z41"/>
      <c r="AB41"/>
      <c r="AC41"/>
      <c r="AD41"/>
    </row>
    <row r="42" spans="1:30" x14ac:dyDescent="0.3">
      <c r="A42" s="24">
        <v>40</v>
      </c>
      <c r="B42" s="11" t="s">
        <v>28</v>
      </c>
      <c r="C42" s="11" t="s">
        <v>119</v>
      </c>
      <c r="D42" s="11" t="s">
        <v>28</v>
      </c>
      <c r="E42" s="11" t="s">
        <v>119</v>
      </c>
      <c r="F42" s="11" t="s">
        <v>72</v>
      </c>
      <c r="G42" s="5" t="s">
        <v>159</v>
      </c>
      <c r="H42" s="3">
        <v>40</v>
      </c>
      <c r="I42" s="11">
        <v>271</v>
      </c>
      <c r="J42" s="11">
        <v>52</v>
      </c>
      <c r="K42" s="11">
        <v>44</v>
      </c>
      <c r="L42" s="11">
        <v>33</v>
      </c>
      <c r="M42" s="11">
        <v>60</v>
      </c>
      <c r="N42" s="11">
        <v>55</v>
      </c>
      <c r="O42" s="11">
        <v>27</v>
      </c>
      <c r="P42" s="19">
        <f t="shared" si="11"/>
        <v>0.57318104906937395</v>
      </c>
      <c r="Q42" s="15">
        <f t="shared" si="12"/>
        <v>0.62395008399328045</v>
      </c>
      <c r="R42" s="15">
        <f t="shared" si="13"/>
        <v>0.52380952380952384</v>
      </c>
      <c r="S42" s="15">
        <f t="shared" si="14"/>
        <v>0.54908485856905154</v>
      </c>
      <c r="T42" s="15">
        <f t="shared" si="15"/>
        <v>0.65040650406504064</v>
      </c>
      <c r="U42" s="15">
        <f t="shared" si="16"/>
        <v>0.65703022339027595</v>
      </c>
      <c r="V42" s="20">
        <f t="shared" si="17"/>
        <v>0.38904899135446686</v>
      </c>
      <c r="W42" s="4">
        <v>1</v>
      </c>
      <c r="X42" s="5">
        <v>25</v>
      </c>
      <c r="Z42"/>
      <c r="AB42"/>
      <c r="AC42"/>
      <c r="AD42"/>
    </row>
    <row r="43" spans="1:30" x14ac:dyDescent="0.3">
      <c r="A43" s="24">
        <v>41</v>
      </c>
      <c r="B43" s="11" t="s">
        <v>29</v>
      </c>
      <c r="C43" s="11" t="s">
        <v>116</v>
      </c>
      <c r="D43" s="11" t="s">
        <v>29</v>
      </c>
      <c r="E43" s="11" t="s">
        <v>116</v>
      </c>
      <c r="F43" s="11" t="s">
        <v>72</v>
      </c>
      <c r="G43" s="5" t="s">
        <v>159</v>
      </c>
      <c r="H43" s="3">
        <v>41</v>
      </c>
      <c r="I43" s="11">
        <v>266</v>
      </c>
      <c r="J43" s="11">
        <v>42</v>
      </c>
      <c r="K43" s="11">
        <v>47</v>
      </c>
      <c r="L43" s="11">
        <v>37</v>
      </c>
      <c r="M43" s="11">
        <v>51</v>
      </c>
      <c r="N43" s="11">
        <v>50</v>
      </c>
      <c r="O43" s="11">
        <v>39</v>
      </c>
      <c r="P43" s="19">
        <f t="shared" si="11"/>
        <v>0.56260575296108295</v>
      </c>
      <c r="Q43" s="15">
        <f t="shared" si="12"/>
        <v>0.5039596832253419</v>
      </c>
      <c r="R43" s="15">
        <f t="shared" si="13"/>
        <v>0.55952380952380953</v>
      </c>
      <c r="S43" s="15">
        <f t="shared" si="14"/>
        <v>0.6156405990016639</v>
      </c>
      <c r="T43" s="15">
        <f t="shared" si="15"/>
        <v>0.55284552845528456</v>
      </c>
      <c r="U43" s="15">
        <f t="shared" si="16"/>
        <v>0.59730020308206899</v>
      </c>
      <c r="V43" s="20">
        <f t="shared" si="17"/>
        <v>0.56195965417867433</v>
      </c>
      <c r="W43" s="4">
        <v>1</v>
      </c>
      <c r="X43" s="5">
        <v>26</v>
      </c>
      <c r="Z43"/>
      <c r="AB43"/>
      <c r="AC43"/>
      <c r="AD43"/>
    </row>
    <row r="44" spans="1:30" x14ac:dyDescent="0.3">
      <c r="A44" s="24">
        <v>42</v>
      </c>
      <c r="B44" s="11" t="s">
        <v>30</v>
      </c>
      <c r="C44" s="11" t="s">
        <v>123</v>
      </c>
      <c r="D44" s="11" t="s">
        <v>30</v>
      </c>
      <c r="E44" s="11" t="s">
        <v>123</v>
      </c>
      <c r="F44" s="11" t="s">
        <v>7</v>
      </c>
      <c r="G44" s="5" t="s">
        <v>159</v>
      </c>
      <c r="H44" s="3">
        <v>42</v>
      </c>
      <c r="I44" s="11">
        <v>238</v>
      </c>
      <c r="J44" s="11">
        <v>38</v>
      </c>
      <c r="K44" s="11">
        <v>50</v>
      </c>
      <c r="L44" s="11">
        <v>20</v>
      </c>
      <c r="M44" s="11">
        <v>45</v>
      </c>
      <c r="N44" s="11">
        <v>51</v>
      </c>
      <c r="O44" s="11">
        <v>34</v>
      </c>
      <c r="P44" s="19">
        <f t="shared" si="11"/>
        <v>0.50338409475465307</v>
      </c>
      <c r="Q44" s="15">
        <f t="shared" si="12"/>
        <v>0.4559635229181665</v>
      </c>
      <c r="R44" s="15">
        <f t="shared" si="13"/>
        <v>0.59523809523809523</v>
      </c>
      <c r="S44" s="15">
        <f t="shared" si="14"/>
        <v>0.33277870216306155</v>
      </c>
      <c r="T44" s="15">
        <f t="shared" si="15"/>
        <v>0.48780487804878048</v>
      </c>
      <c r="U44" s="15">
        <f t="shared" si="16"/>
        <v>0.60924620714371047</v>
      </c>
      <c r="V44" s="20">
        <f t="shared" si="17"/>
        <v>0.48991354466858789</v>
      </c>
      <c r="W44" s="4">
        <v>5</v>
      </c>
      <c r="X44" s="5">
        <v>52</v>
      </c>
      <c r="Z44"/>
      <c r="AB44"/>
      <c r="AC44"/>
      <c r="AD44"/>
    </row>
    <row r="45" spans="1:30" x14ac:dyDescent="0.3">
      <c r="A45" s="24">
        <v>43</v>
      </c>
      <c r="B45" s="11" t="s">
        <v>31</v>
      </c>
      <c r="C45" s="11" t="s">
        <v>117</v>
      </c>
      <c r="D45" s="11" t="s">
        <v>31</v>
      </c>
      <c r="E45" s="11" t="s">
        <v>117</v>
      </c>
      <c r="F45" s="11" t="s">
        <v>95</v>
      </c>
      <c r="G45" s="5" t="s">
        <v>159</v>
      </c>
      <c r="H45" s="3">
        <v>43</v>
      </c>
      <c r="I45" s="11">
        <v>214</v>
      </c>
      <c r="J45" s="11">
        <v>38</v>
      </c>
      <c r="K45" s="11">
        <v>27</v>
      </c>
      <c r="L45" s="11">
        <v>26</v>
      </c>
      <c r="M45" s="11">
        <v>55</v>
      </c>
      <c r="N45" s="11">
        <v>38</v>
      </c>
      <c r="O45" s="11">
        <v>30</v>
      </c>
      <c r="P45" s="19">
        <f t="shared" si="11"/>
        <v>0.45262267343485613</v>
      </c>
      <c r="Q45" s="15">
        <f t="shared" si="12"/>
        <v>0.4559635229181665</v>
      </c>
      <c r="R45" s="15">
        <f t="shared" si="13"/>
        <v>0.3214285714285714</v>
      </c>
      <c r="S45" s="15">
        <f t="shared" si="14"/>
        <v>0.43261231281198009</v>
      </c>
      <c r="T45" s="15">
        <f t="shared" si="15"/>
        <v>0.59620596205962062</v>
      </c>
      <c r="U45" s="15">
        <f t="shared" si="16"/>
        <v>0.45394815434237251</v>
      </c>
      <c r="V45" s="20">
        <f t="shared" si="17"/>
        <v>0.43227665706051877</v>
      </c>
      <c r="W45" s="4">
        <v>6</v>
      </c>
      <c r="X45" s="5">
        <v>56</v>
      </c>
      <c r="Z45"/>
      <c r="AB45"/>
      <c r="AC45"/>
      <c r="AD45"/>
    </row>
    <row r="46" spans="1:30" x14ac:dyDescent="0.3">
      <c r="A46" s="24">
        <v>44</v>
      </c>
      <c r="B46" s="11" t="s">
        <v>32</v>
      </c>
      <c r="C46" s="11" t="s">
        <v>120</v>
      </c>
      <c r="D46" s="11" t="s">
        <v>32</v>
      </c>
      <c r="E46" s="11" t="s">
        <v>120</v>
      </c>
      <c r="F46" s="11" t="s">
        <v>95</v>
      </c>
      <c r="G46" s="5" t="s">
        <v>159</v>
      </c>
      <c r="H46" s="3">
        <v>44</v>
      </c>
      <c r="I46" s="11">
        <v>197</v>
      </c>
      <c r="J46" s="11">
        <v>39</v>
      </c>
      <c r="K46" s="11">
        <v>39</v>
      </c>
      <c r="L46" s="11">
        <v>25</v>
      </c>
      <c r="M46" s="11">
        <v>36</v>
      </c>
      <c r="N46" s="11">
        <v>31</v>
      </c>
      <c r="O46" s="11">
        <v>27</v>
      </c>
      <c r="P46" s="19">
        <f t="shared" si="11"/>
        <v>0.41666666666666669</v>
      </c>
      <c r="Q46" s="15">
        <f t="shared" si="12"/>
        <v>0.46796256299496042</v>
      </c>
      <c r="R46" s="15">
        <f t="shared" si="13"/>
        <v>0.4642857142857143</v>
      </c>
      <c r="S46" s="15">
        <f t="shared" si="14"/>
        <v>0.41597337770382692</v>
      </c>
      <c r="T46" s="15">
        <f t="shared" si="15"/>
        <v>0.3902439024390244</v>
      </c>
      <c r="U46" s="15">
        <f t="shared" si="16"/>
        <v>0.37032612591088282</v>
      </c>
      <c r="V46" s="20">
        <f t="shared" si="17"/>
        <v>0.38904899135446686</v>
      </c>
      <c r="W46" s="4">
        <v>6</v>
      </c>
      <c r="X46" s="5">
        <v>57</v>
      </c>
      <c r="Z46"/>
      <c r="AB46"/>
      <c r="AC46"/>
      <c r="AD46"/>
    </row>
    <row r="47" spans="1:30" x14ac:dyDescent="0.3">
      <c r="A47" s="24">
        <v>45</v>
      </c>
      <c r="B47" s="11" t="s">
        <v>33</v>
      </c>
      <c r="C47" s="11" t="s">
        <v>113</v>
      </c>
      <c r="D47" s="11" t="s">
        <v>33</v>
      </c>
      <c r="E47" s="11" t="s">
        <v>113</v>
      </c>
      <c r="F47" s="11" t="s">
        <v>72</v>
      </c>
      <c r="G47" s="5" t="s">
        <v>159</v>
      </c>
      <c r="H47" s="3">
        <v>45</v>
      </c>
      <c r="I47" s="11">
        <v>196</v>
      </c>
      <c r="J47" s="11">
        <v>51</v>
      </c>
      <c r="K47" s="11">
        <v>36</v>
      </c>
      <c r="L47" s="11">
        <v>29</v>
      </c>
      <c r="M47" s="11">
        <v>50</v>
      </c>
      <c r="N47" s="11">
        <v>16</v>
      </c>
      <c r="O47" s="11">
        <v>14</v>
      </c>
      <c r="P47" s="19">
        <f t="shared" si="11"/>
        <v>0.41455160744500841</v>
      </c>
      <c r="Q47" s="15">
        <f t="shared" si="12"/>
        <v>0.61195104391648669</v>
      </c>
      <c r="R47" s="15">
        <f t="shared" si="13"/>
        <v>0.4285714285714286</v>
      </c>
      <c r="S47" s="15">
        <f t="shared" si="14"/>
        <v>0.48252911813643928</v>
      </c>
      <c r="T47" s="15">
        <f t="shared" si="15"/>
        <v>0.54200542005420049</v>
      </c>
      <c r="U47" s="15">
        <f t="shared" si="16"/>
        <v>0.19113606498626209</v>
      </c>
      <c r="V47" s="20">
        <f t="shared" si="17"/>
        <v>0.20172910662824206</v>
      </c>
      <c r="W47" s="4">
        <v>1</v>
      </c>
      <c r="X47" s="5">
        <v>27</v>
      </c>
      <c r="Z47"/>
      <c r="AB47"/>
      <c r="AC47"/>
      <c r="AD47"/>
    </row>
    <row r="48" spans="1:30" x14ac:dyDescent="0.3">
      <c r="A48" s="24">
        <v>46</v>
      </c>
      <c r="B48" s="11" t="s">
        <v>34</v>
      </c>
      <c r="C48" s="11" t="s">
        <v>125</v>
      </c>
      <c r="D48" s="11" t="s">
        <v>34</v>
      </c>
      <c r="E48" s="11" t="s">
        <v>125</v>
      </c>
      <c r="F48" s="11" t="s">
        <v>34</v>
      </c>
      <c r="G48" s="5" t="s">
        <v>159</v>
      </c>
      <c r="H48" s="3">
        <v>46</v>
      </c>
      <c r="I48" s="11">
        <v>190</v>
      </c>
      <c r="J48" s="11">
        <v>39</v>
      </c>
      <c r="K48" s="11">
        <v>39</v>
      </c>
      <c r="L48" s="11">
        <v>17</v>
      </c>
      <c r="M48" s="11">
        <v>24</v>
      </c>
      <c r="N48" s="11">
        <v>27</v>
      </c>
      <c r="O48" s="11">
        <v>44</v>
      </c>
      <c r="P48" s="19">
        <f t="shared" si="11"/>
        <v>0.40186125211505919</v>
      </c>
      <c r="Q48" s="15">
        <f t="shared" si="12"/>
        <v>0.46796256299496042</v>
      </c>
      <c r="R48" s="15">
        <f t="shared" si="13"/>
        <v>0.4642857142857143</v>
      </c>
      <c r="S48" s="15">
        <f t="shared" si="14"/>
        <v>0.28286189683860236</v>
      </c>
      <c r="T48" s="15">
        <f t="shared" si="15"/>
        <v>0.26016260162601623</v>
      </c>
      <c r="U48" s="15">
        <f t="shared" si="16"/>
        <v>0.32254210966431729</v>
      </c>
      <c r="V48" s="20">
        <f t="shared" si="17"/>
        <v>0.63400576368876083</v>
      </c>
      <c r="W48" s="4">
        <v>9</v>
      </c>
      <c r="X48" s="5">
        <v>69</v>
      </c>
      <c r="Z48"/>
      <c r="AB48"/>
      <c r="AC48"/>
      <c r="AD48"/>
    </row>
    <row r="49" spans="1:30" x14ac:dyDescent="0.3">
      <c r="A49" s="24">
        <v>47</v>
      </c>
      <c r="B49" s="11" t="s">
        <v>46</v>
      </c>
      <c r="C49" s="11" t="s">
        <v>146</v>
      </c>
      <c r="D49" s="11" t="s">
        <v>46</v>
      </c>
      <c r="E49" s="11" t="s">
        <v>146</v>
      </c>
      <c r="F49" s="11" t="s">
        <v>72</v>
      </c>
      <c r="G49" s="5" t="s">
        <v>159</v>
      </c>
      <c r="H49" s="3">
        <v>47</v>
      </c>
      <c r="I49" s="11">
        <v>156</v>
      </c>
      <c r="J49" s="11">
        <v>35</v>
      </c>
      <c r="K49" s="11">
        <v>20</v>
      </c>
      <c r="L49" s="11">
        <v>20</v>
      </c>
      <c r="M49" s="11">
        <v>38</v>
      </c>
      <c r="N49" s="11">
        <v>29</v>
      </c>
      <c r="O49" s="11">
        <v>14</v>
      </c>
      <c r="P49" s="19">
        <f t="shared" si="11"/>
        <v>0.32994923857868019</v>
      </c>
      <c r="Q49" s="15">
        <f t="shared" si="12"/>
        <v>0.41996640268778496</v>
      </c>
      <c r="R49" s="15">
        <f t="shared" si="13"/>
        <v>0.23809523809523811</v>
      </c>
      <c r="S49" s="15">
        <f t="shared" si="14"/>
        <v>0.33277870216306155</v>
      </c>
      <c r="T49" s="15">
        <f t="shared" si="15"/>
        <v>0.41192411924119243</v>
      </c>
      <c r="U49" s="15">
        <f t="shared" si="16"/>
        <v>0.34643411778760003</v>
      </c>
      <c r="V49" s="20">
        <f t="shared" si="17"/>
        <v>0.20172910662824206</v>
      </c>
      <c r="W49" s="4">
        <v>1</v>
      </c>
      <c r="X49" s="5">
        <v>28</v>
      </c>
      <c r="Z49"/>
      <c r="AA49"/>
      <c r="AB49"/>
      <c r="AC49"/>
      <c r="AD49"/>
    </row>
    <row r="50" spans="1:30" x14ac:dyDescent="0.3">
      <c r="A50" s="24">
        <v>48</v>
      </c>
      <c r="B50" s="11" t="s">
        <v>35</v>
      </c>
      <c r="C50" s="11" t="s">
        <v>128</v>
      </c>
      <c r="D50" s="11" t="s">
        <v>35</v>
      </c>
      <c r="E50" s="11" t="s">
        <v>128</v>
      </c>
      <c r="F50" s="11" t="s">
        <v>35</v>
      </c>
      <c r="G50" s="5" t="s">
        <v>159</v>
      </c>
      <c r="H50" s="3">
        <v>48</v>
      </c>
      <c r="I50" s="11">
        <v>147</v>
      </c>
      <c r="J50" s="11">
        <v>22</v>
      </c>
      <c r="K50" s="11">
        <v>25</v>
      </c>
      <c r="L50" s="11">
        <v>23</v>
      </c>
      <c r="M50" s="11">
        <v>26</v>
      </c>
      <c r="N50" s="11">
        <v>33</v>
      </c>
      <c r="O50" s="11">
        <v>18</v>
      </c>
      <c r="P50" s="19">
        <f t="shared" si="11"/>
        <v>0.31091370558375636</v>
      </c>
      <c r="Q50" s="15">
        <f t="shared" si="12"/>
        <v>0.26397888168946482</v>
      </c>
      <c r="R50" s="15">
        <f t="shared" si="13"/>
        <v>0.29761904761904762</v>
      </c>
      <c r="S50" s="15">
        <f t="shared" si="14"/>
        <v>0.38269550748752079</v>
      </c>
      <c r="T50" s="15">
        <f t="shared" si="15"/>
        <v>0.28184281842818426</v>
      </c>
      <c r="U50" s="15">
        <f t="shared" si="16"/>
        <v>0.39421813403416556</v>
      </c>
      <c r="V50" s="20">
        <f t="shared" si="17"/>
        <v>0.25936599423631124</v>
      </c>
      <c r="W50" s="4">
        <v>10</v>
      </c>
      <c r="X50" s="5">
        <v>70</v>
      </c>
      <c r="Z50"/>
      <c r="AA50"/>
      <c r="AB50"/>
      <c r="AC50"/>
      <c r="AD50"/>
    </row>
    <row r="51" spans="1:30" x14ac:dyDescent="0.3">
      <c r="A51" s="24">
        <v>49</v>
      </c>
      <c r="B51" s="11" t="s">
        <v>58</v>
      </c>
      <c r="C51" s="11" t="s">
        <v>139</v>
      </c>
      <c r="D51" s="11" t="s">
        <v>74</v>
      </c>
      <c r="E51" s="11" t="s">
        <v>75</v>
      </c>
      <c r="F51" s="11" t="s">
        <v>74</v>
      </c>
      <c r="G51" s="5" t="s">
        <v>159</v>
      </c>
      <c r="H51" s="3">
        <v>49</v>
      </c>
      <c r="I51" s="11">
        <v>136</v>
      </c>
      <c r="J51" s="11">
        <v>41</v>
      </c>
      <c r="K51" s="11">
        <v>22</v>
      </c>
      <c r="L51" s="11">
        <v>15</v>
      </c>
      <c r="M51" s="11">
        <v>11</v>
      </c>
      <c r="N51" s="11">
        <v>21</v>
      </c>
      <c r="O51" s="11">
        <v>26</v>
      </c>
      <c r="P51" s="19">
        <f t="shared" si="11"/>
        <v>0.28764805414551609</v>
      </c>
      <c r="Q51" s="15">
        <f t="shared" si="12"/>
        <v>0.49196064314854809</v>
      </c>
      <c r="R51" s="15">
        <f t="shared" si="13"/>
        <v>0.26190476190476192</v>
      </c>
      <c r="S51" s="15">
        <f t="shared" si="14"/>
        <v>0.24958402662229617</v>
      </c>
      <c r="T51" s="15">
        <f t="shared" si="15"/>
        <v>0.11924119241192412</v>
      </c>
      <c r="U51" s="15">
        <f t="shared" si="16"/>
        <v>0.25086608529446897</v>
      </c>
      <c r="V51" s="20">
        <f t="shared" si="17"/>
        <v>0.37463976945244953</v>
      </c>
      <c r="W51" s="4">
        <v>0</v>
      </c>
      <c r="X51" s="5">
        <v>7</v>
      </c>
      <c r="Z51"/>
      <c r="AA51"/>
      <c r="AB51"/>
      <c r="AC51"/>
      <c r="AD51"/>
    </row>
    <row r="52" spans="1:30" x14ac:dyDescent="0.3">
      <c r="A52" s="24">
        <v>50</v>
      </c>
      <c r="B52" s="11" t="s">
        <v>148</v>
      </c>
      <c r="C52" s="11" t="s">
        <v>149</v>
      </c>
      <c r="D52" s="11" t="s">
        <v>148</v>
      </c>
      <c r="E52" s="11" t="s">
        <v>149</v>
      </c>
      <c r="F52" s="11" t="s">
        <v>83</v>
      </c>
      <c r="G52" s="5" t="s">
        <v>147</v>
      </c>
      <c r="H52" s="3">
        <v>50</v>
      </c>
      <c r="I52" s="11">
        <v>127</v>
      </c>
      <c r="J52" s="11">
        <v>23</v>
      </c>
      <c r="K52" s="11">
        <v>21</v>
      </c>
      <c r="L52" s="11">
        <v>24</v>
      </c>
      <c r="M52" s="11">
        <v>26</v>
      </c>
      <c r="N52" s="11">
        <v>21</v>
      </c>
      <c r="O52" s="11">
        <v>12</v>
      </c>
      <c r="P52" s="19">
        <f t="shared" si="11"/>
        <v>0.26861252115059225</v>
      </c>
      <c r="Q52" s="15">
        <f t="shared" si="12"/>
        <v>0.27597792176625874</v>
      </c>
      <c r="R52" s="15">
        <f t="shared" si="13"/>
        <v>0.25</v>
      </c>
      <c r="S52" s="15">
        <f t="shared" si="14"/>
        <v>0.39933444259567391</v>
      </c>
      <c r="T52" s="15">
        <f t="shared" si="15"/>
        <v>0.28184281842818426</v>
      </c>
      <c r="U52" s="15">
        <f t="shared" si="16"/>
        <v>0.25086608529446897</v>
      </c>
      <c r="V52" s="20">
        <f t="shared" si="17"/>
        <v>0.1729106628242075</v>
      </c>
      <c r="W52" s="4">
        <v>3</v>
      </c>
      <c r="X52" s="5">
        <v>42</v>
      </c>
      <c r="Z52"/>
      <c r="AA52"/>
      <c r="AB52"/>
      <c r="AC52"/>
      <c r="AD52"/>
    </row>
    <row r="53" spans="1:30" x14ac:dyDescent="0.3">
      <c r="A53" s="24">
        <v>51</v>
      </c>
      <c r="B53" s="11" t="s">
        <v>59</v>
      </c>
      <c r="C53" s="11" t="s">
        <v>140</v>
      </c>
      <c r="D53" s="11" t="s">
        <v>74</v>
      </c>
      <c r="E53" s="11" t="s">
        <v>75</v>
      </c>
      <c r="F53" s="11" t="s">
        <v>74</v>
      </c>
      <c r="G53" s="5" t="s">
        <v>159</v>
      </c>
      <c r="H53" s="3">
        <v>51</v>
      </c>
      <c r="I53" s="11">
        <v>123</v>
      </c>
      <c r="J53" s="11">
        <v>26</v>
      </c>
      <c r="K53" s="11">
        <v>33</v>
      </c>
      <c r="L53" s="11">
        <v>9</v>
      </c>
      <c r="M53" s="11">
        <v>16</v>
      </c>
      <c r="N53" s="11">
        <v>23</v>
      </c>
      <c r="O53" s="11">
        <v>16</v>
      </c>
      <c r="P53" s="19">
        <f t="shared" si="11"/>
        <v>0.26015228426395937</v>
      </c>
      <c r="Q53" s="15">
        <f t="shared" si="12"/>
        <v>0.31197504199664022</v>
      </c>
      <c r="R53" s="15">
        <f t="shared" si="13"/>
        <v>0.3928571428571429</v>
      </c>
      <c r="S53" s="15">
        <f t="shared" si="14"/>
        <v>0.14975041597337771</v>
      </c>
      <c r="T53" s="15">
        <f t="shared" si="15"/>
        <v>0.17344173441734417</v>
      </c>
      <c r="U53" s="15">
        <f t="shared" si="16"/>
        <v>0.27475809341775176</v>
      </c>
      <c r="V53" s="20">
        <f t="shared" si="17"/>
        <v>0.23054755043227668</v>
      </c>
      <c r="W53" s="4">
        <v>0</v>
      </c>
      <c r="X53" s="5">
        <v>8</v>
      </c>
      <c r="Z53"/>
      <c r="AA53"/>
      <c r="AB53"/>
      <c r="AC53"/>
      <c r="AD53"/>
    </row>
    <row r="54" spans="1:30" x14ac:dyDescent="0.3">
      <c r="A54" s="24">
        <v>52</v>
      </c>
      <c r="B54" s="11" t="s">
        <v>60</v>
      </c>
      <c r="C54" s="11" t="s">
        <v>141</v>
      </c>
      <c r="D54" s="11" t="s">
        <v>74</v>
      </c>
      <c r="E54" s="11" t="s">
        <v>75</v>
      </c>
      <c r="F54" s="11" t="s">
        <v>95</v>
      </c>
      <c r="G54" s="5" t="s">
        <v>159</v>
      </c>
      <c r="H54" s="3">
        <v>52</v>
      </c>
      <c r="I54" s="11">
        <v>116</v>
      </c>
      <c r="J54" s="11">
        <v>34</v>
      </c>
      <c r="K54" s="11">
        <v>23</v>
      </c>
      <c r="L54" s="11">
        <v>13</v>
      </c>
      <c r="M54" s="11">
        <v>22</v>
      </c>
      <c r="N54" s="11">
        <v>12</v>
      </c>
      <c r="O54" s="11">
        <v>12</v>
      </c>
      <c r="P54" s="19">
        <f t="shared" si="11"/>
        <v>0.24534686971235195</v>
      </c>
      <c r="Q54" s="15">
        <f t="shared" si="12"/>
        <v>0.40796736261099109</v>
      </c>
      <c r="R54" s="15">
        <f t="shared" si="13"/>
        <v>0.27380952380952384</v>
      </c>
      <c r="S54" s="15">
        <f t="shared" si="14"/>
        <v>0.21630615640599005</v>
      </c>
      <c r="T54" s="15">
        <f t="shared" si="15"/>
        <v>0.23848238482384823</v>
      </c>
      <c r="U54" s="15">
        <f t="shared" si="16"/>
        <v>0.14335204873969656</v>
      </c>
      <c r="V54" s="20">
        <f t="shared" si="17"/>
        <v>0.1729106628242075</v>
      </c>
      <c r="W54" s="4">
        <v>6</v>
      </c>
      <c r="X54" s="5">
        <v>58</v>
      </c>
      <c r="Z54"/>
      <c r="AA54"/>
      <c r="AB54"/>
      <c r="AC54"/>
      <c r="AD54"/>
    </row>
    <row r="55" spans="1:30" x14ac:dyDescent="0.3">
      <c r="A55" s="24">
        <v>53</v>
      </c>
      <c r="B55" s="11" t="s">
        <v>36</v>
      </c>
      <c r="C55" s="11" t="s">
        <v>118</v>
      </c>
      <c r="D55" s="11" t="s">
        <v>36</v>
      </c>
      <c r="E55" s="11" t="s">
        <v>118</v>
      </c>
      <c r="F55" s="11" t="s">
        <v>72</v>
      </c>
      <c r="G55" s="5" t="s">
        <v>159</v>
      </c>
      <c r="H55" s="3">
        <v>53</v>
      </c>
      <c r="I55" s="11">
        <v>114</v>
      </c>
      <c r="J55" s="11">
        <v>19</v>
      </c>
      <c r="K55" s="11">
        <v>18</v>
      </c>
      <c r="L55" s="11">
        <v>9</v>
      </c>
      <c r="M55" s="11">
        <v>32</v>
      </c>
      <c r="N55" s="11">
        <v>16</v>
      </c>
      <c r="O55" s="11">
        <v>20</v>
      </c>
      <c r="P55" s="19">
        <f t="shared" si="11"/>
        <v>0.24111675126903556</v>
      </c>
      <c r="Q55" s="15">
        <f t="shared" si="12"/>
        <v>0.22798176145908325</v>
      </c>
      <c r="R55" s="15">
        <f t="shared" si="13"/>
        <v>0.2142857142857143</v>
      </c>
      <c r="S55" s="15">
        <f t="shared" si="14"/>
        <v>0.14975041597337771</v>
      </c>
      <c r="T55" s="15">
        <f t="shared" si="15"/>
        <v>0.34688346883468835</v>
      </c>
      <c r="U55" s="15">
        <f t="shared" si="16"/>
        <v>0.19113606498626209</v>
      </c>
      <c r="V55" s="20">
        <f t="shared" si="17"/>
        <v>0.28818443804034583</v>
      </c>
      <c r="W55" s="4">
        <v>1</v>
      </c>
      <c r="X55" s="5">
        <v>29</v>
      </c>
      <c r="Z55"/>
      <c r="AD55"/>
    </row>
    <row r="56" spans="1:30" x14ac:dyDescent="0.3">
      <c r="A56" s="24">
        <v>54</v>
      </c>
      <c r="B56" s="11" t="s">
        <v>49</v>
      </c>
      <c r="C56" s="11" t="s">
        <v>134</v>
      </c>
      <c r="D56" s="11" t="s">
        <v>49</v>
      </c>
      <c r="E56" s="11" t="s">
        <v>134</v>
      </c>
      <c r="F56" s="11" t="s">
        <v>95</v>
      </c>
      <c r="G56" s="5" t="s">
        <v>159</v>
      </c>
      <c r="H56" s="3">
        <v>54</v>
      </c>
      <c r="I56" s="11">
        <v>109</v>
      </c>
      <c r="J56" s="11">
        <v>18</v>
      </c>
      <c r="K56" s="11">
        <v>29</v>
      </c>
      <c r="L56" s="11">
        <v>14</v>
      </c>
      <c r="M56" s="11">
        <v>18</v>
      </c>
      <c r="N56" s="11">
        <v>17</v>
      </c>
      <c r="O56" s="11">
        <v>13</v>
      </c>
      <c r="P56" s="19">
        <f t="shared" si="11"/>
        <v>0.23054145516074451</v>
      </c>
      <c r="Q56" s="15">
        <f t="shared" si="12"/>
        <v>0.21598272138228944</v>
      </c>
      <c r="R56" s="15">
        <f t="shared" si="13"/>
        <v>0.34523809523809523</v>
      </c>
      <c r="S56" s="15">
        <f t="shared" si="14"/>
        <v>0.23294509151414308</v>
      </c>
      <c r="T56" s="15">
        <f t="shared" si="15"/>
        <v>0.1951219512195122</v>
      </c>
      <c r="U56" s="15">
        <f t="shared" si="16"/>
        <v>0.20308206904790346</v>
      </c>
      <c r="V56" s="20">
        <f t="shared" si="17"/>
        <v>0.18731988472622477</v>
      </c>
      <c r="W56" s="4">
        <v>6</v>
      </c>
      <c r="X56" s="5">
        <v>59</v>
      </c>
      <c r="Z56"/>
      <c r="AD56"/>
    </row>
    <row r="57" spans="1:30" x14ac:dyDescent="0.3">
      <c r="A57" s="24">
        <v>55</v>
      </c>
      <c r="B57" s="11" t="s">
        <v>37</v>
      </c>
      <c r="C57" s="11" t="s">
        <v>122</v>
      </c>
      <c r="D57" s="11" t="s">
        <v>37</v>
      </c>
      <c r="E57" s="11" t="s">
        <v>122</v>
      </c>
      <c r="F57" s="11" t="s">
        <v>95</v>
      </c>
      <c r="G57" s="5" t="s">
        <v>159</v>
      </c>
      <c r="H57" s="3">
        <v>55</v>
      </c>
      <c r="I57" s="11">
        <v>107</v>
      </c>
      <c r="J57" s="11">
        <v>17</v>
      </c>
      <c r="K57" s="11">
        <v>27</v>
      </c>
      <c r="L57" s="11">
        <v>13</v>
      </c>
      <c r="M57" s="11">
        <v>17</v>
      </c>
      <c r="N57" s="11">
        <v>17</v>
      </c>
      <c r="O57" s="11">
        <v>16</v>
      </c>
      <c r="P57" s="19">
        <f t="shared" si="11"/>
        <v>0.22631133671742806</v>
      </c>
      <c r="Q57" s="15">
        <f t="shared" si="12"/>
        <v>0.20398368130549555</v>
      </c>
      <c r="R57" s="15">
        <f t="shared" si="13"/>
        <v>0.3214285714285714</v>
      </c>
      <c r="S57" s="15">
        <f t="shared" si="14"/>
        <v>0.21630615640599005</v>
      </c>
      <c r="T57" s="15">
        <f t="shared" si="15"/>
        <v>0.18428184281842819</v>
      </c>
      <c r="U57" s="15">
        <f t="shared" si="16"/>
        <v>0.20308206904790346</v>
      </c>
      <c r="V57" s="20">
        <f t="shared" si="17"/>
        <v>0.23054755043227668</v>
      </c>
      <c r="W57" s="4">
        <v>6</v>
      </c>
      <c r="X57" s="5">
        <v>60</v>
      </c>
      <c r="Z57"/>
      <c r="AD57"/>
    </row>
    <row r="58" spans="1:30" x14ac:dyDescent="0.3">
      <c r="A58" s="24">
        <v>56</v>
      </c>
      <c r="B58" s="11" t="s">
        <v>38</v>
      </c>
      <c r="C58" s="11" t="s">
        <v>121</v>
      </c>
      <c r="D58" s="11" t="s">
        <v>38</v>
      </c>
      <c r="E58" s="11" t="s">
        <v>121</v>
      </c>
      <c r="F58" s="11" t="s">
        <v>95</v>
      </c>
      <c r="G58" s="5" t="s">
        <v>159</v>
      </c>
      <c r="H58" s="3">
        <v>56</v>
      </c>
      <c r="I58" s="11">
        <v>104</v>
      </c>
      <c r="J58" s="11">
        <v>19</v>
      </c>
      <c r="K58" s="11">
        <v>27</v>
      </c>
      <c r="L58" s="11">
        <v>14</v>
      </c>
      <c r="M58" s="11">
        <v>16</v>
      </c>
      <c r="N58" s="11">
        <v>20</v>
      </c>
      <c r="O58" s="11">
        <v>8</v>
      </c>
      <c r="P58" s="19">
        <f t="shared" si="11"/>
        <v>0.21996615905245345</v>
      </c>
      <c r="Q58" s="15">
        <f t="shared" si="12"/>
        <v>0.22798176145908325</v>
      </c>
      <c r="R58" s="15">
        <f t="shared" si="13"/>
        <v>0.3214285714285714</v>
      </c>
      <c r="S58" s="15">
        <f t="shared" si="14"/>
        <v>0.23294509151414308</v>
      </c>
      <c r="T58" s="15">
        <f t="shared" si="15"/>
        <v>0.17344173441734417</v>
      </c>
      <c r="U58" s="15">
        <f t="shared" si="16"/>
        <v>0.2389200812328276</v>
      </c>
      <c r="V58" s="20">
        <f t="shared" si="17"/>
        <v>0.11527377521613834</v>
      </c>
      <c r="W58" s="4">
        <v>6</v>
      </c>
      <c r="X58" s="5">
        <v>61</v>
      </c>
      <c r="Z58"/>
      <c r="AD58"/>
    </row>
    <row r="59" spans="1:30" x14ac:dyDescent="0.3">
      <c r="A59" s="24">
        <v>57</v>
      </c>
      <c r="B59" s="11" t="s">
        <v>61</v>
      </c>
      <c r="C59" s="11" t="s">
        <v>142</v>
      </c>
      <c r="D59" s="11" t="s">
        <v>74</v>
      </c>
      <c r="E59" s="11" t="s">
        <v>75</v>
      </c>
      <c r="F59" s="11" t="s">
        <v>74</v>
      </c>
      <c r="G59" s="5" t="s">
        <v>159</v>
      </c>
      <c r="H59" s="3">
        <v>57</v>
      </c>
      <c r="I59" s="11">
        <v>90</v>
      </c>
      <c r="J59" s="11">
        <v>16</v>
      </c>
      <c r="K59" s="11">
        <v>22</v>
      </c>
      <c r="L59" s="11">
        <v>10</v>
      </c>
      <c r="M59" s="11">
        <v>17</v>
      </c>
      <c r="N59" s="11">
        <v>14</v>
      </c>
      <c r="O59" s="11">
        <v>11</v>
      </c>
      <c r="P59" s="19">
        <f t="shared" si="11"/>
        <v>0.19035532994923859</v>
      </c>
      <c r="Q59" s="15">
        <f t="shared" si="12"/>
        <v>0.19198464122870171</v>
      </c>
      <c r="R59" s="15">
        <f t="shared" si="13"/>
        <v>0.26190476190476192</v>
      </c>
      <c r="S59" s="15">
        <f t="shared" si="14"/>
        <v>0.16638935108153077</v>
      </c>
      <c r="T59" s="15">
        <f t="shared" si="15"/>
        <v>0.18428184281842819</v>
      </c>
      <c r="U59" s="15">
        <f t="shared" si="16"/>
        <v>0.16724405686297933</v>
      </c>
      <c r="V59" s="20">
        <f t="shared" si="17"/>
        <v>0.15850144092219021</v>
      </c>
      <c r="W59" s="4">
        <v>0</v>
      </c>
      <c r="X59" s="5">
        <v>9</v>
      </c>
      <c r="Z59"/>
      <c r="AD59"/>
    </row>
    <row r="60" spans="1:30" x14ac:dyDescent="0.3">
      <c r="A60" s="24">
        <v>58</v>
      </c>
      <c r="B60" s="11" t="s">
        <v>50</v>
      </c>
      <c r="C60" s="11" t="s">
        <v>135</v>
      </c>
      <c r="D60" s="11" t="s">
        <v>50</v>
      </c>
      <c r="E60" s="11" t="s">
        <v>135</v>
      </c>
      <c r="F60" s="11" t="s">
        <v>95</v>
      </c>
      <c r="G60" s="5" t="s">
        <v>159</v>
      </c>
      <c r="H60" s="3">
        <v>58</v>
      </c>
      <c r="I60" s="11">
        <v>90</v>
      </c>
      <c r="J60" s="11">
        <v>13</v>
      </c>
      <c r="K60" s="11">
        <v>17</v>
      </c>
      <c r="L60" s="11">
        <v>12</v>
      </c>
      <c r="M60" s="11">
        <v>19</v>
      </c>
      <c r="N60" s="11">
        <v>19</v>
      </c>
      <c r="O60" s="11">
        <v>10</v>
      </c>
      <c r="P60" s="19">
        <f t="shared" si="11"/>
        <v>0.19035532994923859</v>
      </c>
      <c r="Q60" s="15">
        <f t="shared" si="12"/>
        <v>0.15598752099832011</v>
      </c>
      <c r="R60" s="15">
        <f t="shared" si="13"/>
        <v>0.20238095238095236</v>
      </c>
      <c r="S60" s="15">
        <f t="shared" si="14"/>
        <v>0.19966722129783696</v>
      </c>
      <c r="T60" s="15">
        <f t="shared" si="15"/>
        <v>0.20596205962059622</v>
      </c>
      <c r="U60" s="15">
        <f t="shared" si="16"/>
        <v>0.22697407717118626</v>
      </c>
      <c r="V60" s="20">
        <f t="shared" si="17"/>
        <v>0.14409221902017291</v>
      </c>
      <c r="W60" s="4">
        <v>6</v>
      </c>
      <c r="X60" s="5">
        <v>62</v>
      </c>
      <c r="Z60"/>
      <c r="AD60"/>
    </row>
    <row r="61" spans="1:30" x14ac:dyDescent="0.3">
      <c r="A61" s="24">
        <v>59</v>
      </c>
      <c r="B61" s="11" t="s">
        <v>39</v>
      </c>
      <c r="C61" s="11" t="s">
        <v>131</v>
      </c>
      <c r="D61" s="11" t="s">
        <v>39</v>
      </c>
      <c r="E61" s="11" t="s">
        <v>131</v>
      </c>
      <c r="F61" s="11" t="s">
        <v>95</v>
      </c>
      <c r="G61" s="5" t="s">
        <v>159</v>
      </c>
      <c r="H61" s="3">
        <v>59</v>
      </c>
      <c r="I61" s="11">
        <v>82</v>
      </c>
      <c r="J61" s="11">
        <v>17</v>
      </c>
      <c r="K61" s="11">
        <v>16</v>
      </c>
      <c r="L61" s="11">
        <v>11</v>
      </c>
      <c r="M61" s="11">
        <v>10</v>
      </c>
      <c r="N61" s="11">
        <v>14</v>
      </c>
      <c r="O61" s="11">
        <v>14</v>
      </c>
      <c r="P61" s="19">
        <f t="shared" si="11"/>
        <v>0.17343485617597293</v>
      </c>
      <c r="Q61" s="15">
        <f t="shared" si="12"/>
        <v>0.20398368130549555</v>
      </c>
      <c r="R61" s="15">
        <f t="shared" si="13"/>
        <v>0.19047619047619047</v>
      </c>
      <c r="S61" s="15">
        <f t="shared" si="14"/>
        <v>0.18302828618968386</v>
      </c>
      <c r="T61" s="15">
        <f t="shared" si="15"/>
        <v>0.10840108401084012</v>
      </c>
      <c r="U61" s="15">
        <f t="shared" si="16"/>
        <v>0.16724405686297933</v>
      </c>
      <c r="V61" s="20">
        <f t="shared" si="17"/>
        <v>0.20172910662824206</v>
      </c>
      <c r="W61" s="4">
        <v>6</v>
      </c>
      <c r="X61" s="5">
        <v>63</v>
      </c>
      <c r="Z61"/>
      <c r="AD61"/>
    </row>
    <row r="62" spans="1:30" x14ac:dyDescent="0.3">
      <c r="A62" s="24">
        <v>60</v>
      </c>
      <c r="B62" s="11" t="s">
        <v>62</v>
      </c>
      <c r="C62" s="11" t="s">
        <v>154</v>
      </c>
      <c r="D62" s="11" t="s">
        <v>74</v>
      </c>
      <c r="E62" s="11" t="s">
        <v>75</v>
      </c>
      <c r="F62" s="11" t="s">
        <v>74</v>
      </c>
      <c r="G62" s="5" t="s">
        <v>159</v>
      </c>
      <c r="H62" s="3">
        <v>60</v>
      </c>
      <c r="I62" s="11">
        <v>77</v>
      </c>
      <c r="J62" s="11">
        <v>15</v>
      </c>
      <c r="K62" s="11">
        <v>11</v>
      </c>
      <c r="L62" s="11">
        <v>11</v>
      </c>
      <c r="M62" s="11">
        <v>15</v>
      </c>
      <c r="N62" s="11">
        <v>14</v>
      </c>
      <c r="O62" s="11">
        <v>11</v>
      </c>
      <c r="P62" s="19">
        <f t="shared" si="11"/>
        <v>0.16285956006768187</v>
      </c>
      <c r="Q62" s="15">
        <f t="shared" si="12"/>
        <v>0.17998560115190784</v>
      </c>
      <c r="R62" s="15">
        <f t="shared" si="13"/>
        <v>0.13095238095238096</v>
      </c>
      <c r="S62" s="15">
        <f t="shared" si="14"/>
        <v>0.18302828618968386</v>
      </c>
      <c r="T62" s="15">
        <f t="shared" si="15"/>
        <v>0.16260162601626016</v>
      </c>
      <c r="U62" s="15">
        <f t="shared" si="16"/>
        <v>0.16724405686297933</v>
      </c>
      <c r="V62" s="20">
        <f t="shared" si="17"/>
        <v>0.15850144092219021</v>
      </c>
      <c r="W62" s="4">
        <v>0</v>
      </c>
      <c r="X62" s="5">
        <v>10</v>
      </c>
      <c r="Z62"/>
      <c r="AD62"/>
    </row>
    <row r="63" spans="1:30" x14ac:dyDescent="0.3">
      <c r="A63" s="24">
        <v>61</v>
      </c>
      <c r="B63" s="11" t="s">
        <v>52</v>
      </c>
      <c r="C63" s="11" t="s">
        <v>150</v>
      </c>
      <c r="D63" s="11" t="s">
        <v>52</v>
      </c>
      <c r="E63" s="11" t="s">
        <v>150</v>
      </c>
      <c r="F63" s="11" t="s">
        <v>72</v>
      </c>
      <c r="G63" s="5" t="s">
        <v>159</v>
      </c>
      <c r="H63" s="3">
        <v>61</v>
      </c>
      <c r="I63" s="11">
        <v>76</v>
      </c>
      <c r="J63" s="11">
        <v>14</v>
      </c>
      <c r="K63" s="11">
        <v>11</v>
      </c>
      <c r="L63" s="11">
        <v>12</v>
      </c>
      <c r="M63" s="11">
        <v>16</v>
      </c>
      <c r="N63" s="11">
        <v>15</v>
      </c>
      <c r="O63" s="11">
        <v>8</v>
      </c>
      <c r="P63" s="19">
        <f t="shared" si="11"/>
        <v>0.16074450084602371</v>
      </c>
      <c r="Q63" s="15">
        <f t="shared" si="12"/>
        <v>0.167986561075114</v>
      </c>
      <c r="R63" s="15">
        <f t="shared" si="13"/>
        <v>0.13095238095238096</v>
      </c>
      <c r="S63" s="15">
        <f t="shared" si="14"/>
        <v>0.19966722129783696</v>
      </c>
      <c r="T63" s="15">
        <f t="shared" si="15"/>
        <v>0.17344173441734417</v>
      </c>
      <c r="U63" s="15">
        <f t="shared" si="16"/>
        <v>0.17919006092462073</v>
      </c>
      <c r="V63" s="20">
        <f t="shared" si="17"/>
        <v>0.11527377521613834</v>
      </c>
      <c r="W63" s="4">
        <v>1</v>
      </c>
      <c r="X63" s="5">
        <v>30</v>
      </c>
      <c r="Z63"/>
      <c r="AD63"/>
    </row>
    <row r="64" spans="1:30" x14ac:dyDescent="0.3">
      <c r="A64" s="24">
        <v>62</v>
      </c>
      <c r="B64" s="11" t="s">
        <v>63</v>
      </c>
      <c r="C64" s="11" t="s">
        <v>153</v>
      </c>
      <c r="D64" s="11" t="s">
        <v>74</v>
      </c>
      <c r="E64" s="11" t="s">
        <v>75</v>
      </c>
      <c r="F64" s="11" t="s">
        <v>74</v>
      </c>
      <c r="G64" s="5" t="s">
        <v>159</v>
      </c>
      <c r="H64" s="3">
        <v>62</v>
      </c>
      <c r="I64" s="11">
        <v>75</v>
      </c>
      <c r="J64" s="11">
        <v>12</v>
      </c>
      <c r="K64" s="11">
        <v>18</v>
      </c>
      <c r="L64" s="11">
        <v>7</v>
      </c>
      <c r="M64" s="11">
        <v>13</v>
      </c>
      <c r="N64" s="11">
        <v>16</v>
      </c>
      <c r="O64" s="11">
        <v>9</v>
      </c>
      <c r="P64" s="19">
        <f t="shared" si="11"/>
        <v>0.15862944162436549</v>
      </c>
      <c r="Q64" s="15">
        <f t="shared" si="12"/>
        <v>0.14398848092152627</v>
      </c>
      <c r="R64" s="15">
        <f t="shared" si="13"/>
        <v>0.2142857142857143</v>
      </c>
      <c r="S64" s="15">
        <f t="shared" si="14"/>
        <v>0.11647254575707154</v>
      </c>
      <c r="T64" s="15">
        <f t="shared" si="15"/>
        <v>0.14092140921409213</v>
      </c>
      <c r="U64" s="15">
        <f t="shared" si="16"/>
        <v>0.19113606498626209</v>
      </c>
      <c r="V64" s="20">
        <f t="shared" si="17"/>
        <v>0.12968299711815562</v>
      </c>
      <c r="W64" s="4">
        <v>0</v>
      </c>
      <c r="X64" s="5">
        <v>11</v>
      </c>
      <c r="AD64"/>
    </row>
    <row r="65" spans="1:24" x14ac:dyDescent="0.3">
      <c r="A65" s="24">
        <v>63</v>
      </c>
      <c r="B65" s="11" t="s">
        <v>40</v>
      </c>
      <c r="C65" s="11" t="s">
        <v>130</v>
      </c>
      <c r="D65" s="11" t="s">
        <v>40</v>
      </c>
      <c r="E65" s="11" t="s">
        <v>130</v>
      </c>
      <c r="F65" s="11" t="s">
        <v>95</v>
      </c>
      <c r="G65" s="5" t="s">
        <v>159</v>
      </c>
      <c r="H65" s="3">
        <v>63</v>
      </c>
      <c r="I65" s="11">
        <v>73</v>
      </c>
      <c r="J65" s="11">
        <v>7</v>
      </c>
      <c r="K65" s="11">
        <v>18</v>
      </c>
      <c r="L65" s="11">
        <v>12</v>
      </c>
      <c r="M65" s="11">
        <v>15</v>
      </c>
      <c r="N65" s="11">
        <v>16</v>
      </c>
      <c r="O65" s="11">
        <v>5</v>
      </c>
      <c r="P65" s="19">
        <f t="shared" si="11"/>
        <v>0.15439932318104907</v>
      </c>
      <c r="Q65" s="15">
        <f t="shared" si="12"/>
        <v>8.3993280537557002E-2</v>
      </c>
      <c r="R65" s="15">
        <f t="shared" si="13"/>
        <v>0.2142857142857143</v>
      </c>
      <c r="S65" s="15">
        <f t="shared" si="14"/>
        <v>0.19966722129783696</v>
      </c>
      <c r="T65" s="15">
        <f t="shared" si="15"/>
        <v>0.16260162601626016</v>
      </c>
      <c r="U65" s="15">
        <f t="shared" si="16"/>
        <v>0.19113606498626209</v>
      </c>
      <c r="V65" s="20">
        <f t="shared" si="17"/>
        <v>7.2046109510086456E-2</v>
      </c>
      <c r="W65" s="4">
        <v>6</v>
      </c>
      <c r="X65" s="5">
        <v>64</v>
      </c>
    </row>
    <row r="66" spans="1:24" x14ac:dyDescent="0.3">
      <c r="A66" s="24">
        <v>64</v>
      </c>
      <c r="B66" s="11" t="s">
        <v>41</v>
      </c>
      <c r="C66" s="11" t="s">
        <v>126</v>
      </c>
      <c r="D66" s="11" t="s">
        <v>41</v>
      </c>
      <c r="E66" s="11" t="s">
        <v>126</v>
      </c>
      <c r="F66" s="11" t="s">
        <v>83</v>
      </c>
      <c r="G66" s="5" t="s">
        <v>159</v>
      </c>
      <c r="H66" s="3">
        <v>64</v>
      </c>
      <c r="I66" s="11">
        <v>64</v>
      </c>
      <c r="J66" s="11">
        <v>11</v>
      </c>
      <c r="K66" s="11">
        <v>6</v>
      </c>
      <c r="L66" s="11">
        <v>5</v>
      </c>
      <c r="M66" s="11">
        <v>23</v>
      </c>
      <c r="N66" s="11">
        <v>16</v>
      </c>
      <c r="O66" s="11">
        <v>3</v>
      </c>
      <c r="P66" s="19">
        <f t="shared" ref="P66:P75" si="18">I66/I$76*100</f>
        <v>0.13536379018612521</v>
      </c>
      <c r="Q66" s="15">
        <f t="shared" ref="Q66:Q75" si="19">J66/J$76*100</f>
        <v>0.13198944084473241</v>
      </c>
      <c r="R66" s="15">
        <f t="shared" ref="R66:R75" si="20">K66/K$76*100</f>
        <v>7.1428571428571425E-2</v>
      </c>
      <c r="S66" s="15">
        <f t="shared" ref="S66:S75" si="21">L66/L$76*100</f>
        <v>8.3194675540765387E-2</v>
      </c>
      <c r="T66" s="15">
        <f t="shared" ref="T66:T75" si="22">M66/M$76*100</f>
        <v>0.24932249322493225</v>
      </c>
      <c r="U66" s="15">
        <f t="shared" ref="U66:U75" si="23">N66/N$76*100</f>
        <v>0.19113606498626209</v>
      </c>
      <c r="V66" s="20">
        <f t="shared" ref="V66:V75" si="24">O66/O$76*100</f>
        <v>4.3227665706051875E-2</v>
      </c>
      <c r="W66" s="4">
        <v>3</v>
      </c>
      <c r="X66" s="5">
        <v>43</v>
      </c>
    </row>
    <row r="67" spans="1:24" x14ac:dyDescent="0.3">
      <c r="A67" s="24">
        <v>65</v>
      </c>
      <c r="B67" s="11" t="s">
        <v>51</v>
      </c>
      <c r="C67" s="11" t="s">
        <v>136</v>
      </c>
      <c r="D67" s="11" t="s">
        <v>51</v>
      </c>
      <c r="E67" s="11" t="s">
        <v>136</v>
      </c>
      <c r="F67" s="11" t="s">
        <v>95</v>
      </c>
      <c r="G67" s="5" t="s">
        <v>159</v>
      </c>
      <c r="H67" s="3">
        <v>65</v>
      </c>
      <c r="I67" s="11">
        <v>58</v>
      </c>
      <c r="J67" s="11">
        <v>12</v>
      </c>
      <c r="K67" s="11">
        <v>12</v>
      </c>
      <c r="L67" s="11">
        <v>11</v>
      </c>
      <c r="M67" s="11">
        <v>9</v>
      </c>
      <c r="N67" s="11">
        <v>4</v>
      </c>
      <c r="O67" s="11">
        <v>10</v>
      </c>
      <c r="P67" s="19">
        <f t="shared" si="18"/>
        <v>0.12267343485617598</v>
      </c>
      <c r="Q67" s="15">
        <f t="shared" si="19"/>
        <v>0.14398848092152627</v>
      </c>
      <c r="R67" s="15">
        <f t="shared" si="20"/>
        <v>0.14285714285714285</v>
      </c>
      <c r="S67" s="15">
        <f t="shared" si="21"/>
        <v>0.18302828618968386</v>
      </c>
      <c r="T67" s="15">
        <f t="shared" si="22"/>
        <v>9.7560975609756101E-2</v>
      </c>
      <c r="U67" s="15">
        <f t="shared" si="23"/>
        <v>4.7784016246565524E-2</v>
      </c>
      <c r="V67" s="20">
        <f t="shared" si="24"/>
        <v>0.14409221902017291</v>
      </c>
      <c r="W67" s="4">
        <v>6</v>
      </c>
      <c r="X67" s="5">
        <v>65</v>
      </c>
    </row>
    <row r="68" spans="1:24" x14ac:dyDescent="0.3">
      <c r="A68" s="24">
        <v>66</v>
      </c>
      <c r="B68" s="11" t="s">
        <v>64</v>
      </c>
      <c r="C68" s="11" t="s">
        <v>138</v>
      </c>
      <c r="D68" s="11" t="s">
        <v>74</v>
      </c>
      <c r="E68" s="11" t="s">
        <v>75</v>
      </c>
      <c r="F68" s="11" t="s">
        <v>74</v>
      </c>
      <c r="G68" s="5" t="s">
        <v>159</v>
      </c>
      <c r="H68" s="3">
        <v>66</v>
      </c>
      <c r="I68" s="11">
        <v>57</v>
      </c>
      <c r="J68" s="11">
        <v>13</v>
      </c>
      <c r="K68" s="11">
        <v>11</v>
      </c>
      <c r="L68" s="11">
        <v>8</v>
      </c>
      <c r="M68" s="11">
        <v>6</v>
      </c>
      <c r="N68" s="11">
        <v>13</v>
      </c>
      <c r="O68" s="11">
        <v>6</v>
      </c>
      <c r="P68" s="19">
        <f t="shared" si="18"/>
        <v>0.12055837563451778</v>
      </c>
      <c r="Q68" s="15">
        <f t="shared" si="19"/>
        <v>0.15598752099832011</v>
      </c>
      <c r="R68" s="15">
        <f t="shared" si="20"/>
        <v>0.13095238095238096</v>
      </c>
      <c r="S68" s="15">
        <f t="shared" si="21"/>
        <v>0.13311148086522462</v>
      </c>
      <c r="T68" s="15">
        <f t="shared" si="22"/>
        <v>6.5040650406504058E-2</v>
      </c>
      <c r="U68" s="15">
        <f t="shared" si="23"/>
        <v>0.15529805280133796</v>
      </c>
      <c r="V68" s="20">
        <f t="shared" si="24"/>
        <v>8.645533141210375E-2</v>
      </c>
      <c r="W68" s="4">
        <v>0</v>
      </c>
      <c r="X68" s="5">
        <v>12</v>
      </c>
    </row>
    <row r="69" spans="1:24" x14ac:dyDescent="0.3">
      <c r="A69" s="24">
        <v>67</v>
      </c>
      <c r="B69" s="11" t="s">
        <v>53</v>
      </c>
      <c r="C69" s="11" t="s">
        <v>197</v>
      </c>
      <c r="D69" s="11" t="s">
        <v>53</v>
      </c>
      <c r="E69" s="11" t="s">
        <v>197</v>
      </c>
      <c r="F69" s="11" t="s">
        <v>72</v>
      </c>
      <c r="G69" s="5" t="s">
        <v>158</v>
      </c>
      <c r="H69" s="3">
        <v>67</v>
      </c>
      <c r="I69" s="11">
        <v>51</v>
      </c>
      <c r="J69" s="11">
        <v>6</v>
      </c>
      <c r="K69" s="11">
        <v>10</v>
      </c>
      <c r="L69" s="11">
        <v>5</v>
      </c>
      <c r="M69" s="11">
        <v>10</v>
      </c>
      <c r="N69" s="11">
        <v>12</v>
      </c>
      <c r="O69" s="11">
        <v>8</v>
      </c>
      <c r="P69" s="19">
        <f t="shared" si="18"/>
        <v>0.10786802030456853</v>
      </c>
      <c r="Q69" s="15">
        <f t="shared" si="19"/>
        <v>7.1994240460763137E-2</v>
      </c>
      <c r="R69" s="15">
        <f t="shared" si="20"/>
        <v>0.11904761904761905</v>
      </c>
      <c r="S69" s="15">
        <f t="shared" si="21"/>
        <v>8.3194675540765387E-2</v>
      </c>
      <c r="T69" s="15">
        <f t="shared" si="22"/>
        <v>0.10840108401084012</v>
      </c>
      <c r="U69" s="15">
        <f t="shared" si="23"/>
        <v>0.14335204873969656</v>
      </c>
      <c r="V69" s="20">
        <f t="shared" si="24"/>
        <v>0.11527377521613834</v>
      </c>
      <c r="W69" s="4">
        <v>1</v>
      </c>
      <c r="X69" s="5">
        <v>31</v>
      </c>
    </row>
    <row r="70" spans="1:24" x14ac:dyDescent="0.3">
      <c r="A70" s="24">
        <v>68</v>
      </c>
      <c r="B70" s="11" t="s">
        <v>65</v>
      </c>
      <c r="C70" s="11" t="s">
        <v>75</v>
      </c>
      <c r="D70" s="11" t="s">
        <v>74</v>
      </c>
      <c r="E70" s="11" t="s">
        <v>75</v>
      </c>
      <c r="F70" s="11" t="s">
        <v>74</v>
      </c>
      <c r="G70" s="5" t="s">
        <v>159</v>
      </c>
      <c r="H70" s="3">
        <v>68</v>
      </c>
      <c r="I70" s="11">
        <v>49</v>
      </c>
      <c r="J70" s="11">
        <v>5</v>
      </c>
      <c r="K70" s="11">
        <v>13</v>
      </c>
      <c r="L70" s="11">
        <v>6</v>
      </c>
      <c r="M70" s="11">
        <v>14</v>
      </c>
      <c r="N70" s="11">
        <v>5</v>
      </c>
      <c r="O70" s="11">
        <v>6</v>
      </c>
      <c r="P70" s="19">
        <f t="shared" si="18"/>
        <v>0.1036379018612521</v>
      </c>
      <c r="Q70" s="15">
        <f t="shared" si="19"/>
        <v>5.9995200383969285E-2</v>
      </c>
      <c r="R70" s="15">
        <f t="shared" si="20"/>
        <v>0.15476190476190477</v>
      </c>
      <c r="S70" s="15">
        <f t="shared" si="21"/>
        <v>9.9833610648918478E-2</v>
      </c>
      <c r="T70" s="15">
        <f t="shared" si="22"/>
        <v>0.15176151761517614</v>
      </c>
      <c r="U70" s="15">
        <f t="shared" si="23"/>
        <v>5.9730020308206899E-2</v>
      </c>
      <c r="V70" s="20">
        <f t="shared" si="24"/>
        <v>8.645533141210375E-2</v>
      </c>
      <c r="W70" s="4">
        <v>0</v>
      </c>
      <c r="X70" s="5">
        <v>13</v>
      </c>
    </row>
    <row r="71" spans="1:24" x14ac:dyDescent="0.3">
      <c r="A71" s="24">
        <v>69</v>
      </c>
      <c r="B71" s="11" t="s">
        <v>66</v>
      </c>
      <c r="C71" s="11" t="s">
        <v>152</v>
      </c>
      <c r="D71" s="11" t="s">
        <v>74</v>
      </c>
      <c r="E71" s="11" t="s">
        <v>75</v>
      </c>
      <c r="F71" s="11" t="s">
        <v>74</v>
      </c>
      <c r="G71" s="5" t="s">
        <v>159</v>
      </c>
      <c r="H71" s="3">
        <v>69</v>
      </c>
      <c r="I71" s="11">
        <v>22</v>
      </c>
      <c r="J71" s="11">
        <v>3</v>
      </c>
      <c r="K71" s="11">
        <v>2</v>
      </c>
      <c r="L71" s="11">
        <v>3</v>
      </c>
      <c r="M71" s="11">
        <v>7</v>
      </c>
      <c r="N71" s="11">
        <v>5</v>
      </c>
      <c r="O71" s="11">
        <v>2</v>
      </c>
      <c r="P71" s="19">
        <f t="shared" si="18"/>
        <v>4.6531302876480538E-2</v>
      </c>
      <c r="Q71" s="15">
        <f t="shared" si="19"/>
        <v>3.5997120230381568E-2</v>
      </c>
      <c r="R71" s="15">
        <f t="shared" si="20"/>
        <v>2.3809523809523808E-2</v>
      </c>
      <c r="S71" s="15">
        <f t="shared" si="21"/>
        <v>4.9916805324459239E-2</v>
      </c>
      <c r="T71" s="15">
        <f t="shared" si="22"/>
        <v>7.5880758807588072E-2</v>
      </c>
      <c r="U71" s="15">
        <f t="shared" si="23"/>
        <v>5.9730020308206899E-2</v>
      </c>
      <c r="V71" s="20">
        <f t="shared" si="24"/>
        <v>2.8818443804034585E-2</v>
      </c>
      <c r="W71" s="4">
        <v>0</v>
      </c>
      <c r="X71" s="5">
        <v>14</v>
      </c>
    </row>
    <row r="72" spans="1:24" x14ac:dyDescent="0.3">
      <c r="A72" s="24">
        <v>70</v>
      </c>
      <c r="B72" s="11" t="s">
        <v>67</v>
      </c>
      <c r="C72" s="11" t="s">
        <v>151</v>
      </c>
      <c r="D72" s="11" t="s">
        <v>74</v>
      </c>
      <c r="E72" s="11" t="s">
        <v>75</v>
      </c>
      <c r="F72" s="11" t="s">
        <v>74</v>
      </c>
      <c r="G72" s="5" t="s">
        <v>159</v>
      </c>
      <c r="H72" s="3">
        <v>70</v>
      </c>
      <c r="I72" s="11">
        <v>22</v>
      </c>
      <c r="J72" s="11">
        <v>4</v>
      </c>
      <c r="K72" s="11">
        <v>4</v>
      </c>
      <c r="L72" s="11">
        <v>2</v>
      </c>
      <c r="M72" s="11">
        <v>2</v>
      </c>
      <c r="N72" s="11">
        <v>5</v>
      </c>
      <c r="O72" s="11">
        <v>5</v>
      </c>
      <c r="P72" s="19">
        <f t="shared" si="18"/>
        <v>4.6531302876480538E-2</v>
      </c>
      <c r="Q72" s="15">
        <f t="shared" si="19"/>
        <v>4.7996160307175427E-2</v>
      </c>
      <c r="R72" s="15">
        <f t="shared" si="20"/>
        <v>4.7619047619047616E-2</v>
      </c>
      <c r="S72" s="15">
        <f t="shared" si="21"/>
        <v>3.3277870216306155E-2</v>
      </c>
      <c r="T72" s="15">
        <f t="shared" si="22"/>
        <v>2.1680216802168022E-2</v>
      </c>
      <c r="U72" s="15">
        <f t="shared" si="23"/>
        <v>5.9730020308206899E-2</v>
      </c>
      <c r="V72" s="20">
        <f t="shared" si="24"/>
        <v>7.2046109510086456E-2</v>
      </c>
      <c r="W72" s="4">
        <v>0</v>
      </c>
      <c r="X72" s="5">
        <v>15</v>
      </c>
    </row>
    <row r="73" spans="1:24" x14ac:dyDescent="0.3">
      <c r="A73" s="24">
        <v>71</v>
      </c>
      <c r="B73" s="11" t="s">
        <v>124</v>
      </c>
      <c r="C73" s="11" t="s">
        <v>150</v>
      </c>
      <c r="D73" s="11" t="s">
        <v>124</v>
      </c>
      <c r="E73" s="11" t="s">
        <v>150</v>
      </c>
      <c r="F73" s="11" t="s">
        <v>47</v>
      </c>
      <c r="G73" s="5" t="s">
        <v>159</v>
      </c>
      <c r="H73" s="3">
        <v>71</v>
      </c>
      <c r="I73" s="11">
        <v>21</v>
      </c>
      <c r="J73" s="11">
        <v>1</v>
      </c>
      <c r="K73" s="11">
        <v>5</v>
      </c>
      <c r="L73" s="11">
        <v>1</v>
      </c>
      <c r="M73" s="11">
        <v>8</v>
      </c>
      <c r="N73" s="11">
        <v>3</v>
      </c>
      <c r="O73" s="11">
        <v>3</v>
      </c>
      <c r="P73" s="19">
        <f t="shared" si="18"/>
        <v>4.4416243654822336E-2</v>
      </c>
      <c r="Q73" s="15">
        <f t="shared" si="19"/>
        <v>1.1999040076793857E-2</v>
      </c>
      <c r="R73" s="15">
        <f t="shared" si="20"/>
        <v>5.9523809523809527E-2</v>
      </c>
      <c r="S73" s="15">
        <f t="shared" si="21"/>
        <v>1.6638935108153077E-2</v>
      </c>
      <c r="T73" s="15">
        <f t="shared" si="22"/>
        <v>8.6720867208672087E-2</v>
      </c>
      <c r="U73" s="15">
        <f t="shared" si="23"/>
        <v>3.5838012184924141E-2</v>
      </c>
      <c r="V73" s="20">
        <f t="shared" si="24"/>
        <v>4.3227665706051875E-2</v>
      </c>
      <c r="W73" s="4">
        <v>11</v>
      </c>
      <c r="X73" s="5">
        <v>71</v>
      </c>
    </row>
    <row r="74" spans="1:24" x14ac:dyDescent="0.3">
      <c r="A74" s="24">
        <v>72</v>
      </c>
      <c r="B74" s="11" t="s">
        <v>127</v>
      </c>
      <c r="C74" s="11" t="s">
        <v>150</v>
      </c>
      <c r="D74" s="11" t="s">
        <v>127</v>
      </c>
      <c r="E74" s="11" t="s">
        <v>150</v>
      </c>
      <c r="F74" s="11" t="s">
        <v>47</v>
      </c>
      <c r="G74" s="5" t="s">
        <v>159</v>
      </c>
      <c r="H74" s="3">
        <v>72</v>
      </c>
      <c r="I74" s="11">
        <v>17</v>
      </c>
      <c r="J74" s="11">
        <v>4</v>
      </c>
      <c r="K74" s="11">
        <v>5</v>
      </c>
      <c r="L74" s="11">
        <v>1</v>
      </c>
      <c r="M74" s="11">
        <v>0</v>
      </c>
      <c r="N74" s="11">
        <v>3</v>
      </c>
      <c r="O74" s="11">
        <v>4</v>
      </c>
      <c r="P74" s="19">
        <f t="shared" si="18"/>
        <v>3.5956006768189511E-2</v>
      </c>
      <c r="Q74" s="15">
        <f t="shared" si="19"/>
        <v>4.7996160307175427E-2</v>
      </c>
      <c r="R74" s="15">
        <f t="shared" si="20"/>
        <v>5.9523809523809527E-2</v>
      </c>
      <c r="S74" s="15">
        <f t="shared" si="21"/>
        <v>1.6638935108153077E-2</v>
      </c>
      <c r="T74" s="15">
        <f t="shared" si="22"/>
        <v>0</v>
      </c>
      <c r="U74" s="15">
        <f t="shared" si="23"/>
        <v>3.5838012184924141E-2</v>
      </c>
      <c r="V74" s="20">
        <f t="shared" si="24"/>
        <v>5.7636887608069169E-2</v>
      </c>
      <c r="W74" s="4">
        <v>11</v>
      </c>
      <c r="X74" s="5">
        <v>72</v>
      </c>
    </row>
    <row r="75" spans="1:24" ht="15" thickBot="1" x14ac:dyDescent="0.35">
      <c r="A75" s="25">
        <v>73</v>
      </c>
      <c r="B75" s="12" t="s">
        <v>129</v>
      </c>
      <c r="C75" s="12" t="s">
        <v>150</v>
      </c>
      <c r="D75" s="12" t="s">
        <v>129</v>
      </c>
      <c r="E75" s="12" t="s">
        <v>150</v>
      </c>
      <c r="F75" s="12" t="s">
        <v>47</v>
      </c>
      <c r="G75" s="13" t="s">
        <v>159</v>
      </c>
      <c r="H75" s="6">
        <v>73</v>
      </c>
      <c r="I75" s="12">
        <v>12</v>
      </c>
      <c r="J75" s="12">
        <v>3</v>
      </c>
      <c r="K75" s="12">
        <v>2</v>
      </c>
      <c r="L75" s="12">
        <v>2</v>
      </c>
      <c r="M75" s="12">
        <v>0</v>
      </c>
      <c r="N75" s="12">
        <v>2</v>
      </c>
      <c r="O75" s="12">
        <v>3</v>
      </c>
      <c r="P75" s="21">
        <f t="shared" si="18"/>
        <v>2.5380710659898477E-2</v>
      </c>
      <c r="Q75" s="22">
        <f t="shared" si="19"/>
        <v>3.5997120230381568E-2</v>
      </c>
      <c r="R75" s="22">
        <f t="shared" si="20"/>
        <v>2.3809523809523808E-2</v>
      </c>
      <c r="S75" s="22">
        <f t="shared" si="21"/>
        <v>3.3277870216306155E-2</v>
      </c>
      <c r="T75" s="22">
        <f t="shared" si="22"/>
        <v>0</v>
      </c>
      <c r="U75" s="22">
        <f t="shared" si="23"/>
        <v>2.3892008123282762E-2</v>
      </c>
      <c r="V75" s="23">
        <f t="shared" si="24"/>
        <v>4.3227665706051875E-2</v>
      </c>
      <c r="W75" s="7">
        <v>11</v>
      </c>
      <c r="X75" s="13">
        <v>73</v>
      </c>
    </row>
    <row r="76" spans="1:24" x14ac:dyDescent="0.3">
      <c r="A76" s="1" t="s">
        <v>162</v>
      </c>
      <c r="B76" s="27"/>
      <c r="C76" s="27"/>
      <c r="D76" s="28"/>
      <c r="E76" s="27"/>
      <c r="F76" s="27"/>
      <c r="G76" s="28"/>
      <c r="H76" s="28"/>
      <c r="I76" s="2">
        <f t="shared" ref="I76:O76" si="25">SUM(I1:I74)</f>
        <v>47280</v>
      </c>
      <c r="J76" s="2">
        <f t="shared" si="25"/>
        <v>8334</v>
      </c>
      <c r="K76" s="2">
        <f t="shared" si="25"/>
        <v>8400</v>
      </c>
      <c r="L76" s="2">
        <f t="shared" si="25"/>
        <v>6010</v>
      </c>
      <c r="M76" s="2">
        <f t="shared" si="25"/>
        <v>9225</v>
      </c>
      <c r="N76" s="2">
        <f t="shared" si="25"/>
        <v>8371</v>
      </c>
      <c r="O76" s="2">
        <f t="shared" si="25"/>
        <v>6940</v>
      </c>
    </row>
  </sheetData>
  <sortState ref="A2:X72">
    <sortCondition ref="H2:H7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F20B-DA11-4363-99F6-4D6287627B8B}">
  <dimension ref="A1:P17"/>
  <sheetViews>
    <sheetView workbookViewId="0">
      <selection activeCell="B27" sqref="B27"/>
    </sheetView>
  </sheetViews>
  <sheetFormatPr defaultRowHeight="14.4" x14ac:dyDescent="0.3"/>
  <cols>
    <col min="1" max="1" width="9.33203125" style="4" bestFit="1" customWidth="1"/>
    <col min="2" max="2" width="30.6640625" bestFit="1" customWidth="1"/>
    <col min="3" max="3" width="13.5546875" bestFit="1" customWidth="1"/>
    <col min="4" max="5" width="21.33203125" bestFit="1" customWidth="1"/>
    <col min="6" max="7" width="25.77734375" bestFit="1" customWidth="1"/>
    <col min="8" max="9" width="21.88671875" bestFit="1" customWidth="1"/>
    <col min="10" max="12" width="12" bestFit="1" customWidth="1"/>
    <col min="13" max="14" width="12.44140625" bestFit="1" customWidth="1"/>
    <col min="15" max="16" width="12" bestFit="1" customWidth="1"/>
  </cols>
  <sheetData>
    <row r="1" spans="1:16" x14ac:dyDescent="0.3">
      <c r="A1" s="8" t="s">
        <v>133</v>
      </c>
      <c r="B1" s="10" t="s">
        <v>155</v>
      </c>
      <c r="C1" s="8" t="s">
        <v>160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167</v>
      </c>
      <c r="I1" s="9" t="s">
        <v>168</v>
      </c>
      <c r="J1" s="9" t="s">
        <v>169</v>
      </c>
      <c r="K1" s="9" t="s">
        <v>177</v>
      </c>
      <c r="L1" s="9" t="s">
        <v>178</v>
      </c>
      <c r="M1" s="9" t="s">
        <v>179</v>
      </c>
      <c r="N1" s="9" t="s">
        <v>180</v>
      </c>
      <c r="O1" s="9" t="s">
        <v>181</v>
      </c>
      <c r="P1" s="10" t="s">
        <v>182</v>
      </c>
    </row>
    <row r="2" spans="1:16" x14ac:dyDescent="0.3">
      <c r="A2" s="24">
        <v>0</v>
      </c>
      <c r="B2" s="5" t="s">
        <v>74</v>
      </c>
      <c r="C2" s="24">
        <v>3468</v>
      </c>
      <c r="D2" s="11">
        <v>561</v>
      </c>
      <c r="E2" s="11">
        <v>724</v>
      </c>
      <c r="F2" s="11">
        <v>364</v>
      </c>
      <c r="G2" s="11">
        <v>673</v>
      </c>
      <c r="H2" s="11">
        <v>467</v>
      </c>
      <c r="I2" s="11">
        <v>679</v>
      </c>
      <c r="J2" s="11">
        <f t="shared" ref="J2:J16" si="0">C2/C$17*100</f>
        <v>41.212121212121211</v>
      </c>
      <c r="K2" s="11">
        <f t="shared" ref="K2:K16" si="1">D2/D$17*100</f>
        <v>38.137321549966011</v>
      </c>
      <c r="L2" s="11">
        <f t="shared" ref="L2:L16" si="2">E2/E$17*100</f>
        <v>42.739079102715465</v>
      </c>
      <c r="M2" s="11">
        <f t="shared" ref="M2:M16" si="3">F2/F$17*100</f>
        <v>33.734939759036145</v>
      </c>
      <c r="N2" s="11">
        <f t="shared" ref="N2:N16" si="4">G2/G$17*100</f>
        <v>46.001367053998635</v>
      </c>
      <c r="O2" s="11">
        <f t="shared" ref="O2:O16" si="5">H2/H$17*100</f>
        <v>35.513307984790877</v>
      </c>
      <c r="P2" s="5">
        <f t="shared" ref="P2:P16" si="6">I2/I$17*100</f>
        <v>48.743718592964825</v>
      </c>
    </row>
    <row r="3" spans="1:16" x14ac:dyDescent="0.3">
      <c r="A3" s="24">
        <v>5</v>
      </c>
      <c r="B3" s="5" t="s">
        <v>74</v>
      </c>
      <c r="C3" s="24">
        <v>2316</v>
      </c>
      <c r="D3" s="11">
        <v>391</v>
      </c>
      <c r="E3" s="11">
        <v>496</v>
      </c>
      <c r="F3" s="11">
        <v>337</v>
      </c>
      <c r="G3" s="11">
        <v>395</v>
      </c>
      <c r="H3" s="11">
        <v>355</v>
      </c>
      <c r="I3" s="11">
        <v>342</v>
      </c>
      <c r="J3" s="11">
        <f t="shared" si="0"/>
        <v>27.522281639928696</v>
      </c>
      <c r="K3" s="11">
        <f t="shared" si="1"/>
        <v>26.580557443915705</v>
      </c>
      <c r="L3" s="11">
        <f t="shared" si="2"/>
        <v>29.279811097992912</v>
      </c>
      <c r="M3" s="11">
        <f t="shared" si="3"/>
        <v>31.23262279888786</v>
      </c>
      <c r="N3" s="11">
        <f t="shared" si="4"/>
        <v>26.999316473000682</v>
      </c>
      <c r="O3" s="11">
        <f t="shared" si="5"/>
        <v>26.996197718631176</v>
      </c>
      <c r="P3" s="5">
        <f t="shared" si="6"/>
        <v>24.55132806891601</v>
      </c>
    </row>
    <row r="4" spans="1:16" x14ac:dyDescent="0.3">
      <c r="A4" s="24">
        <v>11</v>
      </c>
      <c r="B4" s="5" t="s">
        <v>74</v>
      </c>
      <c r="C4" s="24">
        <v>1269</v>
      </c>
      <c r="D4" s="11">
        <v>239</v>
      </c>
      <c r="E4" s="11">
        <v>213</v>
      </c>
      <c r="F4" s="11">
        <v>199</v>
      </c>
      <c r="G4" s="11">
        <v>179</v>
      </c>
      <c r="H4" s="11">
        <v>245</v>
      </c>
      <c r="I4" s="11">
        <v>194</v>
      </c>
      <c r="J4" s="11">
        <f t="shared" si="0"/>
        <v>15.080213903743314</v>
      </c>
      <c r="K4" s="11">
        <f t="shared" si="1"/>
        <v>16.247450713800134</v>
      </c>
      <c r="L4" s="11">
        <f t="shared" si="2"/>
        <v>12.573789846517119</v>
      </c>
      <c r="M4" s="11">
        <f t="shared" si="3"/>
        <v>18.443002780352177</v>
      </c>
      <c r="N4" s="11">
        <f t="shared" si="4"/>
        <v>12.235133287764867</v>
      </c>
      <c r="O4" s="11">
        <f t="shared" si="5"/>
        <v>18.631178707224336</v>
      </c>
      <c r="P4" s="5">
        <f t="shared" si="6"/>
        <v>13.926776740847094</v>
      </c>
    </row>
    <row r="5" spans="1:16" x14ac:dyDescent="0.3">
      <c r="A5" s="24">
        <v>38</v>
      </c>
      <c r="B5" s="5" t="s">
        <v>74</v>
      </c>
      <c r="C5" s="24">
        <v>320</v>
      </c>
      <c r="D5" s="11">
        <v>47</v>
      </c>
      <c r="E5" s="11">
        <v>60</v>
      </c>
      <c r="F5" s="11">
        <v>54</v>
      </c>
      <c r="G5" s="11">
        <v>64</v>
      </c>
      <c r="H5" s="11">
        <v>59</v>
      </c>
      <c r="I5" s="11">
        <v>36</v>
      </c>
      <c r="J5" s="11">
        <f t="shared" si="0"/>
        <v>3.8027332144979207</v>
      </c>
      <c r="K5" s="11">
        <f t="shared" si="1"/>
        <v>3.1951053704962611</v>
      </c>
      <c r="L5" s="11">
        <f t="shared" si="2"/>
        <v>3.5419126328217239</v>
      </c>
      <c r="M5" s="11">
        <f t="shared" si="3"/>
        <v>5.0046339202965706</v>
      </c>
      <c r="N5" s="11">
        <f t="shared" si="4"/>
        <v>4.3745727956254274</v>
      </c>
      <c r="O5" s="11">
        <f t="shared" si="5"/>
        <v>4.4866920152091252</v>
      </c>
      <c r="P5" s="5">
        <f t="shared" si="6"/>
        <v>2.5843503230437905</v>
      </c>
    </row>
    <row r="6" spans="1:16" x14ac:dyDescent="0.3">
      <c r="A6" s="24">
        <v>39</v>
      </c>
      <c r="B6" s="5" t="s">
        <v>74</v>
      </c>
      <c r="C6" s="24">
        <v>275</v>
      </c>
      <c r="D6" s="11">
        <v>64</v>
      </c>
      <c r="E6" s="11">
        <v>42</v>
      </c>
      <c r="F6" s="11">
        <v>41</v>
      </c>
      <c r="G6" s="11">
        <v>29</v>
      </c>
      <c r="H6" s="11">
        <v>61</v>
      </c>
      <c r="I6" s="11">
        <v>38</v>
      </c>
      <c r="J6" s="11">
        <f t="shared" si="0"/>
        <v>3.2679738562091507</v>
      </c>
      <c r="K6" s="11">
        <f t="shared" si="1"/>
        <v>4.3507817811012917</v>
      </c>
      <c r="L6" s="11">
        <f t="shared" si="2"/>
        <v>2.4793388429752068</v>
      </c>
      <c r="M6" s="11">
        <f t="shared" si="3"/>
        <v>3.7998146431881374</v>
      </c>
      <c r="N6" s="11">
        <f t="shared" si="4"/>
        <v>1.9822282980177717</v>
      </c>
      <c r="O6" s="11">
        <f t="shared" si="5"/>
        <v>4.6387832699619764</v>
      </c>
      <c r="P6" s="5">
        <f t="shared" si="6"/>
        <v>2.7279253409906676</v>
      </c>
    </row>
    <row r="7" spans="1:16" x14ac:dyDescent="0.3">
      <c r="A7" s="24">
        <v>49</v>
      </c>
      <c r="B7" s="5" t="s">
        <v>74</v>
      </c>
      <c r="C7" s="24">
        <v>136</v>
      </c>
      <c r="D7" s="11">
        <v>41</v>
      </c>
      <c r="E7" s="11">
        <v>22</v>
      </c>
      <c r="F7" s="11">
        <v>15</v>
      </c>
      <c r="G7" s="11">
        <v>11</v>
      </c>
      <c r="H7" s="11">
        <v>21</v>
      </c>
      <c r="I7" s="11">
        <v>26</v>
      </c>
      <c r="J7" s="11">
        <f t="shared" si="0"/>
        <v>1.6161616161616161</v>
      </c>
      <c r="K7" s="11">
        <f t="shared" si="1"/>
        <v>2.7872195785180147</v>
      </c>
      <c r="L7" s="11">
        <f t="shared" si="2"/>
        <v>1.2987012987012987</v>
      </c>
      <c r="M7" s="11">
        <f t="shared" si="3"/>
        <v>1.3901760889712698</v>
      </c>
      <c r="N7" s="11">
        <f t="shared" si="4"/>
        <v>0.75187969924812026</v>
      </c>
      <c r="O7" s="11">
        <f t="shared" si="5"/>
        <v>1.5969581749049431</v>
      </c>
      <c r="P7" s="5">
        <f t="shared" si="6"/>
        <v>1.8664752333094041</v>
      </c>
    </row>
    <row r="8" spans="1:16" x14ac:dyDescent="0.3">
      <c r="A8" s="24">
        <v>51</v>
      </c>
      <c r="B8" s="5" t="s">
        <v>74</v>
      </c>
      <c r="C8" s="24">
        <v>123</v>
      </c>
      <c r="D8" s="11">
        <v>26</v>
      </c>
      <c r="E8" s="11">
        <v>33</v>
      </c>
      <c r="F8" s="11">
        <v>9</v>
      </c>
      <c r="G8" s="11">
        <v>16</v>
      </c>
      <c r="H8" s="11">
        <v>23</v>
      </c>
      <c r="I8" s="11">
        <v>16</v>
      </c>
      <c r="J8" s="11">
        <f t="shared" si="0"/>
        <v>1.4616755793226381</v>
      </c>
      <c r="K8" s="11">
        <f t="shared" si="1"/>
        <v>1.7675050985723997</v>
      </c>
      <c r="L8" s="11">
        <f t="shared" si="2"/>
        <v>1.948051948051948</v>
      </c>
      <c r="M8" s="11">
        <f t="shared" si="3"/>
        <v>0.83410565338276188</v>
      </c>
      <c r="N8" s="11">
        <f t="shared" si="4"/>
        <v>1.0936431989063569</v>
      </c>
      <c r="O8" s="11">
        <f t="shared" si="5"/>
        <v>1.7490494296577948</v>
      </c>
      <c r="P8" s="5">
        <f t="shared" si="6"/>
        <v>1.1486001435750179</v>
      </c>
    </row>
    <row r="9" spans="1:16" x14ac:dyDescent="0.3">
      <c r="A9" s="24">
        <v>52</v>
      </c>
      <c r="B9" s="5" t="s">
        <v>74</v>
      </c>
      <c r="C9" s="24">
        <v>116</v>
      </c>
      <c r="D9" s="11">
        <v>34</v>
      </c>
      <c r="E9" s="11">
        <v>23</v>
      </c>
      <c r="F9" s="11">
        <v>13</v>
      </c>
      <c r="G9" s="11">
        <v>22</v>
      </c>
      <c r="H9" s="11">
        <v>12</v>
      </c>
      <c r="I9" s="11">
        <v>12</v>
      </c>
      <c r="J9" s="11">
        <f t="shared" si="0"/>
        <v>1.3784907902554961</v>
      </c>
      <c r="K9" s="11">
        <f t="shared" si="1"/>
        <v>2.3113528212100611</v>
      </c>
      <c r="L9" s="11">
        <f t="shared" si="2"/>
        <v>1.357733175914994</v>
      </c>
      <c r="M9" s="11">
        <f t="shared" si="3"/>
        <v>1.2048192771084338</v>
      </c>
      <c r="N9" s="11">
        <f t="shared" si="4"/>
        <v>1.5037593984962405</v>
      </c>
      <c r="O9" s="11">
        <f t="shared" si="5"/>
        <v>0.9125475285171103</v>
      </c>
      <c r="P9" s="5">
        <f t="shared" si="6"/>
        <v>0.8614501076812634</v>
      </c>
    </row>
    <row r="10" spans="1:16" x14ac:dyDescent="0.3">
      <c r="A10" s="24">
        <v>57</v>
      </c>
      <c r="B10" s="5" t="s">
        <v>74</v>
      </c>
      <c r="C10" s="24">
        <v>90</v>
      </c>
      <c r="D10" s="11">
        <v>16</v>
      </c>
      <c r="E10" s="11">
        <v>22</v>
      </c>
      <c r="F10" s="11">
        <v>10</v>
      </c>
      <c r="G10" s="11">
        <v>17</v>
      </c>
      <c r="H10" s="11">
        <v>14</v>
      </c>
      <c r="I10" s="11">
        <v>11</v>
      </c>
      <c r="J10" s="11">
        <f t="shared" si="0"/>
        <v>1.0695187165775399</v>
      </c>
      <c r="K10" s="11">
        <f t="shared" si="1"/>
        <v>1.0876954452753229</v>
      </c>
      <c r="L10" s="11">
        <f t="shared" si="2"/>
        <v>1.2987012987012987</v>
      </c>
      <c r="M10" s="11">
        <f t="shared" si="3"/>
        <v>0.92678405931417973</v>
      </c>
      <c r="N10" s="11">
        <f t="shared" si="4"/>
        <v>1.1619958988380041</v>
      </c>
      <c r="O10" s="11">
        <f t="shared" si="5"/>
        <v>1.064638783269962</v>
      </c>
      <c r="P10" s="5">
        <f t="shared" si="6"/>
        <v>0.78966259870782485</v>
      </c>
    </row>
    <row r="11" spans="1:16" x14ac:dyDescent="0.3">
      <c r="A11" s="24">
        <v>60</v>
      </c>
      <c r="B11" s="5" t="s">
        <v>74</v>
      </c>
      <c r="C11" s="24">
        <v>77</v>
      </c>
      <c r="D11" s="11">
        <v>15</v>
      </c>
      <c r="E11" s="11">
        <v>11</v>
      </c>
      <c r="F11" s="11">
        <v>11</v>
      </c>
      <c r="G11" s="11">
        <v>15</v>
      </c>
      <c r="H11" s="11">
        <v>14</v>
      </c>
      <c r="I11" s="11">
        <v>11</v>
      </c>
      <c r="J11" s="11">
        <f t="shared" si="0"/>
        <v>0.91503267973856217</v>
      </c>
      <c r="K11" s="11">
        <f t="shared" si="1"/>
        <v>1.0197144799456153</v>
      </c>
      <c r="L11" s="11">
        <f t="shared" si="2"/>
        <v>0.64935064935064934</v>
      </c>
      <c r="M11" s="11">
        <f t="shared" si="3"/>
        <v>1.0194624652455977</v>
      </c>
      <c r="N11" s="11">
        <f t="shared" si="4"/>
        <v>1.0252904989747096</v>
      </c>
      <c r="O11" s="11">
        <f t="shared" si="5"/>
        <v>1.064638783269962</v>
      </c>
      <c r="P11" s="5">
        <f t="shared" si="6"/>
        <v>0.78966259870782485</v>
      </c>
    </row>
    <row r="12" spans="1:16" x14ac:dyDescent="0.3">
      <c r="A12" s="24">
        <v>62</v>
      </c>
      <c r="B12" s="5" t="s">
        <v>74</v>
      </c>
      <c r="C12" s="24">
        <v>75</v>
      </c>
      <c r="D12" s="11">
        <v>12</v>
      </c>
      <c r="E12" s="11">
        <v>18</v>
      </c>
      <c r="F12" s="11">
        <v>7</v>
      </c>
      <c r="G12" s="11">
        <v>13</v>
      </c>
      <c r="H12" s="11">
        <v>16</v>
      </c>
      <c r="I12" s="11">
        <v>9</v>
      </c>
      <c r="J12" s="11">
        <f t="shared" si="0"/>
        <v>0.89126559714795017</v>
      </c>
      <c r="K12" s="11">
        <f t="shared" si="1"/>
        <v>0.81577158395649219</v>
      </c>
      <c r="L12" s="11">
        <f t="shared" si="2"/>
        <v>1.0625737898465171</v>
      </c>
      <c r="M12" s="11">
        <f t="shared" si="3"/>
        <v>0.64874884151992585</v>
      </c>
      <c r="N12" s="11">
        <f t="shared" si="4"/>
        <v>0.88858509911141503</v>
      </c>
      <c r="O12" s="11">
        <f t="shared" si="5"/>
        <v>1.2167300380228137</v>
      </c>
      <c r="P12" s="5">
        <f t="shared" si="6"/>
        <v>0.64608758076094763</v>
      </c>
    </row>
    <row r="13" spans="1:16" x14ac:dyDescent="0.3">
      <c r="A13" s="24">
        <v>66</v>
      </c>
      <c r="B13" s="5" t="s">
        <v>74</v>
      </c>
      <c r="C13" s="24">
        <v>57</v>
      </c>
      <c r="D13" s="11">
        <v>13</v>
      </c>
      <c r="E13" s="11">
        <v>11</v>
      </c>
      <c r="F13" s="11">
        <v>8</v>
      </c>
      <c r="G13" s="11">
        <v>6</v>
      </c>
      <c r="H13" s="11">
        <v>13</v>
      </c>
      <c r="I13" s="11">
        <v>6</v>
      </c>
      <c r="J13" s="11">
        <f t="shared" si="0"/>
        <v>0.67736185383244207</v>
      </c>
      <c r="K13" s="11">
        <f t="shared" si="1"/>
        <v>0.88375254928619984</v>
      </c>
      <c r="L13" s="11">
        <f t="shared" si="2"/>
        <v>0.64935064935064934</v>
      </c>
      <c r="M13" s="11">
        <f t="shared" si="3"/>
        <v>0.74142724745134381</v>
      </c>
      <c r="N13" s="11">
        <f t="shared" si="4"/>
        <v>0.41011619958988382</v>
      </c>
      <c r="O13" s="11">
        <f t="shared" si="5"/>
        <v>0.98859315589353602</v>
      </c>
      <c r="P13" s="5">
        <f t="shared" si="6"/>
        <v>0.4307250538406317</v>
      </c>
    </row>
    <row r="14" spans="1:16" x14ac:dyDescent="0.3">
      <c r="A14" s="24">
        <v>68</v>
      </c>
      <c r="B14" s="5" t="s">
        <v>74</v>
      </c>
      <c r="C14" s="24">
        <v>49</v>
      </c>
      <c r="D14" s="11">
        <v>5</v>
      </c>
      <c r="E14" s="11">
        <v>13</v>
      </c>
      <c r="F14" s="11">
        <v>6</v>
      </c>
      <c r="G14" s="11">
        <v>14</v>
      </c>
      <c r="H14" s="11">
        <v>5</v>
      </c>
      <c r="I14" s="11">
        <v>6</v>
      </c>
      <c r="J14" s="11">
        <f t="shared" si="0"/>
        <v>0.58229352346999408</v>
      </c>
      <c r="K14" s="11">
        <f t="shared" si="1"/>
        <v>0.33990482664853838</v>
      </c>
      <c r="L14" s="11">
        <f t="shared" si="2"/>
        <v>0.76741440377804016</v>
      </c>
      <c r="M14" s="11">
        <f t="shared" si="3"/>
        <v>0.55607043558850788</v>
      </c>
      <c r="N14" s="11">
        <f t="shared" si="4"/>
        <v>0.9569377990430622</v>
      </c>
      <c r="O14" s="11">
        <f t="shared" si="5"/>
        <v>0.38022813688212925</v>
      </c>
      <c r="P14" s="5">
        <f t="shared" si="6"/>
        <v>0.4307250538406317</v>
      </c>
    </row>
    <row r="15" spans="1:16" x14ac:dyDescent="0.3">
      <c r="A15" s="24">
        <v>69</v>
      </c>
      <c r="B15" s="5" t="s">
        <v>74</v>
      </c>
      <c r="C15" s="24">
        <v>22</v>
      </c>
      <c r="D15" s="11">
        <v>3</v>
      </c>
      <c r="E15" s="11">
        <v>2</v>
      </c>
      <c r="F15" s="11">
        <v>3</v>
      </c>
      <c r="G15" s="11">
        <v>7</v>
      </c>
      <c r="H15" s="11">
        <v>5</v>
      </c>
      <c r="I15" s="11">
        <v>2</v>
      </c>
      <c r="J15" s="11">
        <f t="shared" si="0"/>
        <v>0.26143790849673199</v>
      </c>
      <c r="K15" s="11">
        <f t="shared" si="1"/>
        <v>0.20394289598912305</v>
      </c>
      <c r="L15" s="11">
        <f t="shared" si="2"/>
        <v>0.11806375442739078</v>
      </c>
      <c r="M15" s="11">
        <f t="shared" si="3"/>
        <v>0.27803521779425394</v>
      </c>
      <c r="N15" s="11">
        <f t="shared" si="4"/>
        <v>0.4784688995215311</v>
      </c>
      <c r="O15" s="11">
        <f t="shared" si="5"/>
        <v>0.38022813688212925</v>
      </c>
      <c r="P15" s="5">
        <f t="shared" si="6"/>
        <v>0.14357501794687724</v>
      </c>
    </row>
    <row r="16" spans="1:16" ht="15" thickBot="1" x14ac:dyDescent="0.35">
      <c r="A16" s="25">
        <v>70</v>
      </c>
      <c r="B16" s="13" t="s">
        <v>74</v>
      </c>
      <c r="C16" s="25">
        <v>22</v>
      </c>
      <c r="D16" s="12">
        <v>4</v>
      </c>
      <c r="E16" s="12">
        <v>4</v>
      </c>
      <c r="F16" s="12">
        <v>2</v>
      </c>
      <c r="G16" s="12">
        <v>2</v>
      </c>
      <c r="H16" s="12">
        <v>5</v>
      </c>
      <c r="I16" s="12">
        <v>5</v>
      </c>
      <c r="J16" s="12">
        <f t="shared" si="0"/>
        <v>0.26143790849673199</v>
      </c>
      <c r="K16" s="12">
        <f t="shared" si="1"/>
        <v>0.27192386131883073</v>
      </c>
      <c r="L16" s="12">
        <f t="shared" si="2"/>
        <v>0.23612750885478156</v>
      </c>
      <c r="M16" s="12">
        <f t="shared" si="3"/>
        <v>0.18535681186283595</v>
      </c>
      <c r="N16" s="12">
        <f t="shared" si="4"/>
        <v>0.13670539986329461</v>
      </c>
      <c r="O16" s="12">
        <f t="shared" si="5"/>
        <v>0.38022813688212925</v>
      </c>
      <c r="P16" s="13">
        <f t="shared" si="6"/>
        <v>0.35893754486719309</v>
      </c>
    </row>
    <row r="17" spans="1:16" x14ac:dyDescent="0.3">
      <c r="A17" s="2" t="s">
        <v>162</v>
      </c>
      <c r="B17" s="2"/>
      <c r="C17" s="2">
        <f t="shared" ref="C17:I17" si="7">SUM(C1:C16)</f>
        <v>8415</v>
      </c>
      <c r="D17" s="2">
        <f t="shared" si="7"/>
        <v>1471</v>
      </c>
      <c r="E17" s="2">
        <f t="shared" si="7"/>
        <v>1694</v>
      </c>
      <c r="F17" s="2">
        <f t="shared" si="7"/>
        <v>1079</v>
      </c>
      <c r="G17" s="2">
        <f t="shared" si="7"/>
        <v>1463</v>
      </c>
      <c r="H17" s="2">
        <f t="shared" si="7"/>
        <v>1315</v>
      </c>
      <c r="I17" s="2">
        <f t="shared" si="7"/>
        <v>1393</v>
      </c>
      <c r="J17" s="2" t="s">
        <v>162</v>
      </c>
      <c r="K17" s="2"/>
      <c r="L17" s="2">
        <f>SUM(L1:L16)</f>
        <v>99.999999999999986</v>
      </c>
      <c r="M17" s="2">
        <f>SUM(M1:M16)</f>
        <v>99.999999999999986</v>
      </c>
      <c r="N17" s="2">
        <f>SUM(N1:N16)</f>
        <v>100</v>
      </c>
      <c r="O17" s="2">
        <f>SUM(O1:O16)</f>
        <v>99.999999999999972</v>
      </c>
      <c r="P17" s="2">
        <f>SUM(P1:P16)</f>
        <v>99.999999999999986</v>
      </c>
    </row>
  </sheetData>
  <sortState ref="A2:P17">
    <sortCondition ref="B2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leiden_3_annotation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Elena Emili</cp:lastModifiedBy>
  <dcterms:created xsi:type="dcterms:W3CDTF">2023-05-18T15:57:00Z</dcterms:created>
  <dcterms:modified xsi:type="dcterms:W3CDTF">2023-10-10T12:13:39Z</dcterms:modified>
</cp:coreProperties>
</file>